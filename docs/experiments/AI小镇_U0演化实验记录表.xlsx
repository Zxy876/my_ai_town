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86b5622e894b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实验说明" sheetId="1" r:id="Rb3fbbeaf2dde4703"/>
    <x:sheet xmlns:r="http://schemas.openxmlformats.org/officeDocument/2006/relationships" name="版本记录" sheetId="2" r:id="R8e1f78fd600649b6"/>
    <x:sheet xmlns:r="http://schemas.openxmlformats.org/officeDocument/2006/relationships" name="居民检索行动" sheetId="3" r:id="R8f85258427b546fb"/>
    <x:sheet xmlns:r="http://schemas.openxmlformats.org/officeDocument/2006/relationships" name="观察投递" sheetId="4" r:id="R2f83a7fb236c4398"/>
    <x:sheet xmlns:r="http://schemas.openxmlformats.org/officeDocument/2006/relationships" name="对照实验" sheetId="5" r:id="R5618fcdc8910404b"/>
    <x:sheet xmlns:r="http://schemas.openxmlformats.org/officeDocument/2006/relationships" name="归档清单" sheetId="6" r:id="R168e6e180df44699"/>
    <x:sheet xmlns:r="http://schemas.openxmlformats.org/officeDocument/2006/relationships" name="结果看板" sheetId="7" r:id="Re8661b314def44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%"/>
    <x:numFmt numFmtId="201" formatCode="yyyy-mm-dd"/>
    <x:numFmt numFmtId="202" formatCode="yyyy-mm-dd hh:mm"/>
    <x:numFmt numFmtId="203" formatCode="0"/>
  </x:numFmts>
  <x:fonts count="12">
    <x:font>
      <x:sz val="11"/>
      <x:name val="Carlito"/>
    </x:font>
    <x:font>
      <x:b/>
      <x:sz val="18"/>
      <x:color rgb="FFFFFFFF"/>
      <x:name val="Carlito"/>
    </x:font>
    <x:font>
      <x:sz val="10"/>
      <x:color rgb="FF5B6B68"/>
      <x:name val="Carlito"/>
    </x:font>
    <x:font>
      <x:b/>
      <x:sz val="10"/>
      <x:color rgb="FFFFFFFF"/>
      <x:name val="Carlito"/>
    </x:font>
    <x:font>
      <x:sz val="10"/>
      <x:color rgb="FF1F2933"/>
      <x:name val="Carlito"/>
    </x:font>
    <x:font>
      <x:b/>
      <x:sz val="10"/>
      <x:color rgb="FF1F4E46"/>
      <x:name val="Carlito"/>
    </x:font>
    <x:font>
      <x:b/>
      <x:sz val="12"/>
      <x:color rgb="FF1F4E46"/>
      <x:name val="Carlito"/>
    </x:font>
    <x:font>
      <x:b/>
      <x:sz val="11"/>
      <x:color rgb="FF784421"/>
      <x:name val="Carlito"/>
    </x:font>
    <x:font>
      <x:sz val="11"/>
      <x:color rgb="FF5B6B68"/>
      <x:name val="Carlito"/>
    </x:font>
    <x:font>
      <x:b/>
      <x:sz val="14"/>
      <x:color rgb="FF1F4E46"/>
      <x:name val="Carlito"/>
    </x:font>
    <x:font>
      <x:b/>
      <x:sz val="11"/>
      <x:color rgb="FF5B6B68"/>
      <x:name val="Carlito"/>
    </x:font>
    <x:font>
      <x:sz val="11"/>
      <x:color rgb="FF1F2933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F4E46"/>
      </x:patternFill>
    </x:fill>
    <x:fill>
      <x:patternFill patternType="solid">
        <x:fgColor rgb="FFDCEFEA"/>
      </x:patternFill>
    </x:fill>
    <x:fill>
      <x:patternFill patternType="solid">
        <x:fgColor rgb="FF2E6F68"/>
      </x:patternFill>
    </x:fill>
    <x:fill>
      <x:patternFill patternType="solid">
        <x:fgColor rgb="FFFFF4CC"/>
      </x:patternFill>
    </x:fill>
    <x:fill>
      <x:patternFill patternType="solid">
        <x:fgColor rgb="FFEEF2F3"/>
      </x:patternFill>
    </x:fill>
    <x:fill>
      <x:patternFill patternType="solid">
        <x:fgColor rgb="FFFCE8D5"/>
      </x:patternFill>
    </x:fill>
    <x:fill>
      <x:patternFill patternType="solid">
        <x:fgColor rgb="FFFFFFFF"/>
      </x:patternFill>
    </x:fill>
  </x:fills>
  <x:borders count="13">
    <x:border/>
    <x:border>
      <x:left style="thin">
        <x:color rgb="FFB8C8C5"/>
      </x:left>
      <x:right style="thin">
        <x:color rgb="FFB8C8C5"/>
      </x:right>
      <x:top style="thin">
        <x:color rgb="FFB8C8C5"/>
      </x:top>
      <x:bottom style="thin">
        <x:color rgb="FFB8C8C5"/>
      </x:bottom>
    </x:border>
    <x:border>
      <x:bottom style="thin">
        <x:color rgb="FFB8C8C5"/>
      </x:bottom>
    </x:border>
    <x:border>
      <x:top style="thin">
        <x:color rgb="FFB8C8C5"/>
      </x:top>
      <x:bottom style="thin">
        <x:color rgb="FFB8C8C5"/>
      </x:bottom>
    </x:border>
    <x:border>
      <x:top style="thin">
        <x:color rgb="FFB8C8C5"/>
      </x:top>
    </x:border>
    <x:border>
      <x:right style="thin">
        <x:color rgb="FFB8C8C5"/>
      </x:right>
      <x:bottom style="thin">
        <x:color rgb="FFB8C8C5"/>
      </x:bottom>
    </x:border>
    <x:border>
      <x:left style="thin">
        <x:color rgb="FFB8C8C5"/>
      </x:left>
      <x:right style="thin">
        <x:color rgb="FFB8C8C5"/>
      </x:right>
      <x:bottom style="thin">
        <x:color rgb="FFB8C8C5"/>
      </x:bottom>
    </x:border>
    <x:border>
      <x:left style="thin">
        <x:color rgb="FFB8C8C5"/>
      </x:left>
      <x:bottom style="thin">
        <x:color rgb="FFB8C8C5"/>
      </x:bottom>
    </x:border>
    <x:border>
      <x:right style="thin">
        <x:color rgb="FFB8C8C5"/>
      </x:right>
      <x:top style="thin">
        <x:color rgb="FFB8C8C5"/>
      </x:top>
      <x:bottom style="thin">
        <x:color rgb="FFB8C8C5"/>
      </x:bottom>
    </x:border>
    <x:border>
      <x:left style="thin">
        <x:color rgb="FFB8C8C5"/>
      </x:left>
      <x:top style="thin">
        <x:color rgb="FFB8C8C5"/>
      </x:top>
      <x:bottom style="thin">
        <x:color rgb="FFB8C8C5"/>
      </x:bottom>
    </x:border>
    <x:border>
      <x:right style="thin">
        <x:color rgb="FFB8C8C5"/>
      </x:right>
      <x:top style="thin">
        <x:color rgb="FFB8C8C5"/>
      </x:top>
    </x:border>
    <x:border>
      <x:left style="thin">
        <x:color rgb="FFB8C8C5"/>
      </x:left>
      <x:right style="thin">
        <x:color rgb="FFB8C8C5"/>
      </x:right>
      <x:top style="thin">
        <x:color rgb="FFB8C8C5"/>
      </x:top>
    </x:border>
    <x:border>
      <x:left style="thin">
        <x:color rgb="FFB8C8C5"/>
      </x:left>
      <x:top style="thin">
        <x:color rgb="FFB8C8C5"/>
      </x:top>
    </x:border>
  </x:borders>
  <x:cellStyleXfs count="1">
    <x:xf numFmtId="0" fontId="0" fillId="0" borderId="0"/>
  </x:cellStyleXfs>
  <x:cellXfs count="8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vertical="top" wrapText="1"/>
    </x:xf>
    <x:xf numFmtId="0" fontId="4" fillId="6" borderId="2" xfId="0" applyNumberFormat="1" applyFont="1" applyFill="1" applyBorder="1" applyAlignment="1">
      <x:alignment vertical="top" wrapText="1"/>
    </x:xf>
    <x:xf numFmtId="0" fontId="2" fillId="6" borderId="2" xfId="0" applyNumberFormat="1" applyFont="1" applyFill="1" applyBorder="1" applyAlignment="1">
      <x:alignment vertical="top" wrapText="1"/>
    </x:xf>
    <x:xf numFmtId="0" fontId="5" fillId="6" borderId="2" xfId="0" applyNumberFormat="1" applyFont="1" applyFill="1" applyBorder="1" applyAlignment="1">
      <x:alignment vertical="top" wrapText="1"/>
    </x:xf>
    <x:xf numFmtId="200" fontId="5" fillId="6" borderId="2" xfId="0" applyNumberFormat="1" applyFont="1" applyFill="1" applyBorder="1" applyAlignment="1">
      <x:alignment vertical="top" wrapText="1"/>
    </x:xf>
    <x:xf numFmtId="201" fontId="4" fillId="5" borderId="2" xfId="0" applyNumberFormat="1" applyFont="1" applyFill="1" applyBorder="1" applyAlignment="1">
      <x:alignment vertical="top" wrapText="1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vertical="center"/>
    </x:xf>
    <x:xf numFmtId="0" fontId="4" fillId="5" borderId="3" xfId="0" applyNumberFormat="1" applyFont="1" applyFill="1" applyBorder="1"/>
    <x:xf numFmtId="0" fontId="4" fillId="5" borderId="3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vertical="top" wrapText="1"/>
    </x:xf>
    <x:xf numFmtId="0" fontId="4" fillId="6" borderId="3" xfId="0" applyNumberFormat="1" applyFont="1" applyFill="1" applyBorder="1" applyAlignment="1">
      <x:alignment vertical="top" wrapText="1"/>
    </x:xf>
    <x:xf numFmtId="0" fontId="2" fillId="6" borderId="3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vertical="center" wrapText="1"/>
    </x:xf>
    <x:xf numFmtId="0" fontId="2" fillId="6" borderId="2" xfId="0" applyNumberFormat="1" applyFont="1" applyFill="1" applyBorder="1" applyAlignment="1">
      <x:alignment vertical="center" wrapText="1"/>
    </x:xf>
    <x:xf numFmtId="0" fontId="2" fillId="6" borderId="3" xfId="0" applyNumberFormat="1" applyFont="1" applyFill="1" applyBorder="1" applyAlignment="1">
      <x:alignment vertical="center" wrapText="1"/>
    </x:xf>
    <x:xf numFmtId="202" fontId="4" fillId="5" borderId="2" xfId="0" applyNumberFormat="1" applyFont="1" applyFill="1" applyBorder="1" applyAlignment="1">
      <x:alignment vertical="top" wrapText="1"/>
    </x:xf>
    <x:xf numFmtId="202" fontId="4" fillId="5" borderId="3" xfId="0" applyNumberFormat="1" applyFont="1" applyFill="1" applyBorder="1" applyAlignment="1">
      <x:alignment vertical="top" wrapText="1"/>
    </x:xf>
    <x:xf numFmtId="200" fontId="4" fillId="5" borderId="2" xfId="0" applyNumberFormat="1" applyFont="1" applyFill="1" applyBorder="1" applyAlignment="1">
      <x:alignment vertical="top" wrapText="1"/>
    </x:xf>
    <x:xf numFmtId="200" fontId="4" fillId="5" borderId="3" xfId="0" applyNumberFormat="1" applyFont="1" applyFill="1" applyBorder="1" applyAlignment="1">
      <x:alignment vertical="top" wrapText="1"/>
    </x:xf>
    <x:xf numFmtId="203" fontId="4" fillId="5" borderId="2" xfId="0" applyNumberFormat="1" applyFont="1" applyFill="1" applyBorder="1" applyAlignment="1">
      <x:alignment vertical="top" wrapText="1"/>
    </x:xf>
    <x:xf numFmtId="203" fontId="4" fillId="5" borderId="3" xfId="0" applyNumberFormat="1" applyFont="1" applyFill="1" applyBorder="1" applyAlignment="1">
      <x:alignment vertical="top" wrapText="1"/>
    </x:xf>
    <x:xf numFmtId="203" fontId="2" fillId="6" borderId="2" xfId="0" applyNumberFormat="1" applyFont="1" applyFill="1" applyBorder="1" applyAlignment="1">
      <x:alignment vertical="center" wrapText="1"/>
    </x:xf>
    <x:xf numFmtId="203" fontId="2" fillId="6" borderId="3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2" xfId="0" applyNumberFormat="1" applyFont="1" applyFill="1" applyBorder="1"/>
    <x:xf numFmtId="0" fontId="8" fillId="6" borderId="3" xfId="0" applyNumberFormat="1" applyFont="1" applyFill="1" applyBorder="1"/>
    <x:xf numFmtId="0" fontId="8" fillId="6" borderId="4" xfId="0" applyNumberFormat="1" applyFont="1" applyFill="1" applyBorder="1"/>
    <x:xf numFmtId="0" fontId="0" fillId="8" borderId="0" xfId="0" applyNumberFormat="1" applyFont="1" applyFill="1" applyBorder="1"/>
    <x:xf numFmtId="0" fontId="9" fillId="8" borderId="0" xfId="0" applyNumberFormat="1" applyFont="1" applyFill="1" applyBorder="1"/>
    <x:xf numFmtId="0" fontId="9" fillId="8" borderId="1" xfId="0" applyNumberFormat="1" applyFont="1" applyFill="1" applyBorder="1"/>
    <x:xf numFmtId="0" fontId="9" fillId="8" borderId="1" xfId="0" applyNumberFormat="1" applyFont="1" applyFill="1" applyBorder="1" applyAlignment="1">
      <x:alignment horizontal="center"/>
    </x:xf>
    <x:xf numFmtId="200" fontId="9" fillId="8" borderId="1" xfId="0" applyNumberFormat="1" applyFont="1" applyFill="1" applyBorder="1" applyAlignment="1">
      <x:alignment horizontal="center"/>
    </x:xf>
    <x:xf numFmtId="0" fontId="10" fillId="6" borderId="0" xfId="0" applyNumberFormat="1" applyFont="1" applyFill="1" applyBorder="1"/>
    <x:xf numFmtId="0" fontId="10" fillId="6" borderId="0" xfId="0" applyNumberFormat="1" applyFont="1" applyFill="1" applyBorder="1" applyAlignment="1">
      <x:alignment wrapText="1"/>
    </x:xf>
    <x:xf numFmtId="0" fontId="10" fillId="6" borderId="0" xfId="0" applyNumberFormat="1" applyFont="1" applyFill="1" applyBorder="1" applyAlignment="1">
      <x:alignment vertical="top" wrapText="1"/>
    </x:xf>
    <x:xf numFmtId="0" fontId="11" fillId="5" borderId="0" xfId="0" applyNumberFormat="1" applyFont="1" applyFill="1" applyBorder="1"/>
    <x:xf numFmtId="0" fontId="11" fillId="5" borderId="5" xfId="0" applyNumberFormat="1" applyFont="1" applyFill="1" applyBorder="1"/>
    <x:xf numFmtId="0" fontId="11" fillId="5" borderId="6" xfId="0" applyNumberFormat="1" applyFont="1" applyFill="1" applyBorder="1"/>
    <x:xf numFmtId="0" fontId="11" fillId="5" borderId="7" xfId="0" applyNumberFormat="1" applyFont="1" applyFill="1" applyBorder="1"/>
    <x:xf numFmtId="0" fontId="11" fillId="5" borderId="8" xfId="0" applyNumberFormat="1" applyFont="1" applyFill="1" applyBorder="1"/>
    <x:xf numFmtId="0" fontId="11" fillId="5" borderId="1" xfId="0" applyNumberFormat="1" applyFont="1" applyFill="1" applyBorder="1"/>
    <x:xf numFmtId="0" fontId="11" fillId="5" borderId="9" xfId="0" applyNumberFormat="1" applyFont="1" applyFill="1" applyBorder="1"/>
    <x:xf numFmtId="0" fontId="11" fillId="5" borderId="10" xfId="0" applyNumberFormat="1" applyFont="1" applyFill="1" applyBorder="1"/>
    <x:xf numFmtId="0" fontId="11" fillId="5" borderId="11" xfId="0" applyNumberFormat="1" applyFont="1" applyFill="1" applyBorder="1"/>
    <x:xf numFmtId="0" fontId="11" fillId="5" borderId="12" xfId="0" applyNumberFormat="1" applyFont="1" applyFill="1" applyBorder="1"/>
    <x:xf numFmtId="0" fontId="11" fillId="5" borderId="5" xfId="0" applyNumberFormat="1" applyFont="1" applyFill="1" applyBorder="1" applyAlignment="1">
      <x:alignment wrapText="1"/>
    </x:xf>
    <x:xf numFmtId="0" fontId="11" fillId="5" borderId="6" xfId="0" applyNumberFormat="1" applyFont="1" applyFill="1" applyBorder="1" applyAlignment="1">
      <x:alignment wrapText="1"/>
    </x:xf>
    <x:xf numFmtId="0" fontId="11" fillId="5" borderId="7" xfId="0" applyNumberFormat="1" applyFont="1" applyFill="1" applyBorder="1" applyAlignment="1">
      <x:alignment wrapText="1"/>
    </x:xf>
    <x:xf numFmtId="0" fontId="11" fillId="5" borderId="8" xfId="0" applyNumberFormat="1" applyFont="1" applyFill="1" applyBorder="1" applyAlignment="1">
      <x:alignment wrapText="1"/>
    </x:xf>
    <x:xf numFmtId="0" fontId="11" fillId="5" borderId="1" xfId="0" applyNumberFormat="1" applyFont="1" applyFill="1" applyBorder="1" applyAlignment="1">
      <x:alignment wrapText="1"/>
    </x:xf>
    <x:xf numFmtId="0" fontId="11" fillId="5" borderId="9" xfId="0" applyNumberFormat="1" applyFont="1" applyFill="1" applyBorder="1" applyAlignment="1">
      <x:alignment wrapText="1"/>
    </x:xf>
    <x:xf numFmtId="0" fontId="11" fillId="5" borderId="10" xfId="0" applyNumberFormat="1" applyFont="1" applyFill="1" applyBorder="1" applyAlignment="1">
      <x:alignment wrapText="1"/>
    </x:xf>
    <x:xf numFmtId="0" fontId="11" fillId="5" borderId="11" xfId="0" applyNumberFormat="1" applyFont="1" applyFill="1" applyBorder="1" applyAlignment="1">
      <x:alignment wrapText="1"/>
    </x:xf>
    <x:xf numFmtId="0" fontId="11" fillId="5" borderId="12" xfId="0" applyNumberFormat="1" applyFont="1" applyFill="1" applyBorder="1" applyAlignment="1">
      <x:alignment wrapText="1"/>
    </x:xf>
    <x:xf numFmtId="0" fontId="11" fillId="5" borderId="5" xfId="0" applyNumberFormat="1" applyFont="1" applyFill="1" applyBorder="1" applyAlignment="1">
      <x:alignment vertical="top" wrapText="1"/>
    </x:xf>
    <x:xf numFmtId="0" fontId="11" fillId="5" borderId="6" xfId="0" applyNumberFormat="1" applyFont="1" applyFill="1" applyBorder="1" applyAlignment="1">
      <x:alignment vertical="top" wrapText="1"/>
    </x:xf>
    <x:xf numFmtId="0" fontId="11" fillId="5" borderId="7" xfId="0" applyNumberFormat="1" applyFont="1" applyFill="1" applyBorder="1" applyAlignment="1">
      <x:alignment vertical="top" wrapText="1"/>
    </x:xf>
    <x:xf numFmtId="0" fontId="11" fillId="5" borderId="8" xfId="0" applyNumberFormat="1" applyFont="1" applyFill="1" applyBorder="1" applyAlignment="1">
      <x:alignment vertical="top" wrapText="1"/>
    </x:xf>
    <x:xf numFmtId="0" fontId="11" fillId="5" borderId="1" xfId="0" applyNumberFormat="1" applyFont="1" applyFill="1" applyBorder="1" applyAlignment="1">
      <x:alignment vertical="top" wrapText="1"/>
    </x:xf>
    <x:xf numFmtId="0" fontId="11" fillId="5" borderId="9" xfId="0" applyNumberFormat="1" applyFont="1" applyFill="1" applyBorder="1" applyAlignment="1">
      <x:alignment vertical="top" wrapText="1"/>
    </x:xf>
    <x:xf numFmtId="0" fontId="11" fillId="5" borderId="10" xfId="0" applyNumberFormat="1" applyFont="1" applyFill="1" applyBorder="1" applyAlignment="1">
      <x:alignment vertical="top" wrapText="1"/>
    </x:xf>
    <x:xf numFmtId="0" fontId="11" fillId="5" borderId="11" xfId="0" applyNumberFormat="1" applyFont="1" applyFill="1" applyBorder="1" applyAlignment="1">
      <x:alignment vertical="top" wrapText="1"/>
    </x:xf>
    <x:xf numFmtId="0" fontId="11" fillId="5" borderId="12" xfId="0" applyNumberFormat="1" applyFont="1" applyFill="1" applyBorder="1" applyAlignment="1">
      <x:alignment vertical="top" wrapText="1"/>
    </x:xf>
  </x:cellXfs>
  <x:cellStyles count="1">
    <x:cellStyle name="Normal" xfId="0"/>
  </x:cellStyles>
  <x:dxfs count="20">
    <x:dxf>
      <x:font>
        <x:b/>
        <x:color rgb="FF275317"/>
      </x:font>
      <x:fill>
        <x:patternFill patternType="solid">
          <x:bgColor rgb="FFDDEBD6"/>
        </x:patternFill>
      </x:fill>
    </x:dxf>
    <x:dxf>
      <x:font>
        <x:color rgb="FF7A4E00"/>
      </x:font>
      <x:fill>
        <x:patternFill patternType="solid">
          <x:bgColor rgb="FFF8E2B8"/>
        </x:patternFill>
      </x:fill>
    </x:dxf>
    <x:dxf>
      <x:font>
        <x:b/>
        <x:color rgb="FF8B1A1A"/>
      </x:font>
      <x:fill>
        <x:patternFill patternType="solid">
          <x:bgColor rgb="FFF4CCCC"/>
        </x:patternFill>
      </x:fill>
    </x:dxf>
    <x:dxf>
      <x:font>
        <x:b/>
        <x:color rgb="FF275317"/>
      </x:font>
      <x:fill>
        <x:patternFill patternType="solid">
          <x:bgColor rgb="FFDDEBD6"/>
        </x:patternFill>
      </x:fill>
    </x:dxf>
    <x:dxf>
      <x:font>
        <x:b/>
        <x:color rgb="FF275317"/>
      </x:font>
      <x:fill>
        <x:patternFill patternType="solid">
          <x:bgColor rgb="FFDDEBD6"/>
        </x:patternFill>
      </x:fill>
    </x:dxf>
    <x:dxf>
      <x:font>
        <x:color rgb="FF7A4E00"/>
      </x:font>
      <x:fill>
        <x:patternFill patternType="solid">
          <x:bgColor rgb="FFF8E2B8"/>
        </x:patternFill>
      </x:fill>
    </x:dxf>
    <x:dxf>
      <x:font>
        <x:b/>
        <x:color rgb="FF275317"/>
      </x:font>
      <x:fill>
        <x:patternFill patternType="solid">
          <x:bgColor rgb="FFDDEBD6"/>
        </x:patternFill>
      </x:fill>
    </x:dxf>
    <x:dxf>
      <x:font>
        <x:b/>
        <x:color rgb="FF275317"/>
      </x:font>
      <x:fill>
        <x:patternFill patternType="solid">
          <x:bgColor rgb="FFDDEBD6"/>
        </x:patternFill>
      </x:fill>
    </x:dxf>
    <x:dxf>
      <x:font>
        <x:color rgb="FF7A4E00"/>
      </x:font>
      <x:fill>
        <x:patternFill patternType="solid">
          <x:bgColor rgb="FFF8E2B8"/>
        </x:patternFill>
      </x:fill>
    </x:dxf>
    <x:dxf>
      <x:font>
        <x:b/>
        <x:color rgb="FF275317"/>
      </x:font>
      <x:fill>
        <x:patternFill patternType="solid">
          <x:bgColor rgb="FFDDEBD6"/>
        </x:patternFill>
      </x:fill>
    </x:dxf>
    <x:dxf>
      <x:font>
        <x:b/>
        <x:color rgb="FF275317"/>
      </x:font>
      <x:fill>
        <x:patternFill patternType="solid">
          <x:bgColor rgb="FFDDEBD6"/>
        </x:patternFill>
      </x:fill>
    </x:dxf>
    <x:dxf>
      <x:font>
        <x:color rgb="FF7A4E00"/>
      </x:font>
      <x:fill>
        <x:patternFill patternType="solid">
          <x:bgColor rgb="FFF8E2B8"/>
        </x:patternFill>
      </x:fill>
    </x:dxf>
    <x:dxf>
      <x:font>
        <x:b/>
        <x:color rgb="FF275317"/>
      </x:font>
      <x:fill>
        <x:patternFill patternType="solid">
          <x:bgColor rgb="FFDDEBD6"/>
        </x:patternFill>
      </x:fill>
    </x:dxf>
    <x:dxf>
      <x:font>
        <x:color rgb="FF7A4E00"/>
      </x:font>
      <x:fill>
        <x:patternFill patternType="solid">
          <x:bgColor rgb="FFF8E2B8"/>
        </x:patternFill>
      </x:fill>
    </x:dxf>
    <x:dxf>
      <x:font>
        <x:b/>
        <x:color rgb="FF8B1A1A"/>
      </x:font>
      <x:fill>
        <x:patternFill patternType="solid">
          <x:bgColor rgb="FFF4CCCC"/>
        </x:patternFill>
      </x:fill>
    </x:dxf>
    <x:dxf>
      <x:font>
        <x:b/>
        <x:color rgb="FF275317"/>
      </x:font>
      <x:fill>
        <x:patternFill patternType="solid">
          <x:bgColor rgb="FFDDEBD6"/>
        </x:patternFill>
      </x:fill>
    </x:dxf>
    <x:dxf>
      <x:font>
        <x:b/>
        <x:color rgb="FF8B1A1A"/>
      </x:font>
      <x:fill>
        <x:patternFill patternType="solid">
          <x:bgColor rgb="FFF4CCCC"/>
        </x:patternFill>
      </x:fill>
    </x:dxf>
    <x:dxf>
      <x:font>
        <x:b/>
        <x:color rgb="FF275317"/>
      </x:font>
      <x:fill>
        <x:patternFill patternType="solid">
          <x:bgColor rgb="FFDDEBD6"/>
        </x:patternFill>
      </x:fill>
    </x:dxf>
    <x:dxf>
      <x:font>
        <x:color rgb="FF7A4E00"/>
      </x:font>
      <x:fill>
        <x:patternFill patternType="solid">
          <x:bgColor rgb="FFF8E2B8"/>
        </x:patternFill>
      </x:fill>
    </x:dxf>
    <x:dxf>
      <x:font>
        <x:b/>
        <x:color rgb="FF8B1A1A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10cc4cc8404021" /><Relationship Type="http://schemas.openxmlformats.org/officeDocument/2006/relationships/theme" Target="/xl/theme/theme1.xml" Id="R39579a8c73744d00" /><Relationship Type="http://schemas.openxmlformats.org/officeDocument/2006/relationships/sharedStrings" Target="/xl/sharedStrings.xml" Id="R80f5c0fddff94967" /><Relationship Type="http://schemas.openxmlformats.org/officeDocument/2006/relationships/worksheet" Target="/xl/worksheets/sheet1.xml" Id="Rb3fbbeaf2dde4703" /><Relationship Type="http://schemas.openxmlformats.org/officeDocument/2006/relationships/worksheet" Target="/xl/worksheets/sheet2.xml" Id="R8e1f78fd600649b6" /><Relationship Type="http://schemas.openxmlformats.org/officeDocument/2006/relationships/worksheet" Target="/xl/worksheets/sheet3.xml" Id="R8f85258427b546fb" /><Relationship Type="http://schemas.openxmlformats.org/officeDocument/2006/relationships/worksheet" Target="/xl/worksheets/sheet4.xml" Id="R2f83a7fb236c4398" /><Relationship Type="http://schemas.openxmlformats.org/officeDocument/2006/relationships/worksheet" Target="/xl/worksheets/sheet5.xml" Id="R5618fcdc8910404b" /><Relationship Type="http://schemas.openxmlformats.org/officeDocument/2006/relationships/worksheet" Target="/xl/worksheets/sheet6.xml" Id="R168e6e180df44699" /><Relationship Type="http://schemas.openxmlformats.org/officeDocument/2006/relationships/worksheet" Target="/xl/worksheets/sheet7.xml" Id="Re8661b314def4479" /></Relationships>
</file>

<file path=xl/tables/table1.xml><?xml version="1.0" encoding="utf-8"?>
<x:table xmlns:x="http://schemas.openxmlformats.org/spreadsheetml/2006/main" id="1" name="VersionRecords" displayName="VersionRecords" ref="A4:T24" headerRowCount="1" totalsRowCount="0" totalsRowShown="0">
  <x:autoFilter ref="A4:T24"/>
  <x:tableColumns count="20">
    <x:tableColumn id="1" name="实验编号"/>
    <x:tableColumn id="2" name="版本"/>
    <x:tableColumn id="3" name="父版本"/>
    <x:tableColumn id="4" name="版本状态"/>
    <x:tableColumn id="5" name="提出时间"/>
    <x:tableColumn id="6" name="提出者"/>
    <x:tableColumn id="7" name="基线存档修订"/>
    <x:tableColumn id="8" name="基线世界时间"/>
    <x:tableColumn id="9" name="共同意图全文"/>
    <x:tableColumn id="10" name="保留内容"/>
    <x:tableColumn id="11" name="改变内容"/>
    <x:tableColumn id="12" name="Gap 证据"/>
    <x:tableColumn id="13" name="批准状态"/>
    <x:tableColumn id="14" name="批准人"/>
    <x:tableColumn id="15" name="全镇投递时间"/>
    <x:tableColumn id="16" name="投递覆盖率"/>
    <x:tableColumn id="17" name="新存档修订"/>
    <x:tableColumn id="18" name="证据链接"/>
    <x:tableColumn id="19" name="备注"/>
    <x:tableColumn id="20" name="记录完整性"/>
  </x:tableColumns>
  <x:tableStyleInfo name="TableStyleMedium2" showFirstColumn="0" showLastColumn="0" showRowStripes="0" showColumnStripes="0"/>
</x:table>
</file>

<file path=xl/tables/table2.xml><?xml version="1.0" encoding="utf-8"?>
<x:table xmlns:x="http://schemas.openxmlformats.org/spreadsheetml/2006/main" id="2" name="ResidentRecords" displayName="ResidentRecords" ref="A4:U64" headerRowCount="1" totalsRowCount="0" totalsRowShown="0">
  <x:autoFilter ref="A4:U64"/>
  <x:tableColumns count="21">
    <x:tableColumn id="1" name="实验编号"/>
    <x:tableColumn id="2" name="运行 ID"/>
    <x:tableColumn id="3" name="意图版本"/>
    <x:tableColumn id="4" name="居民"/>
    <x:tableColumn id="5" name="居民角色"/>
    <x:tableColumn id="6" name="U0 投递状态"/>
    <x:tableColumn id="7" name="投递记忆节点 ID"/>
    <x:tableColumn id="8" name="U0 初始排名"/>
    <x:tableColumn id="9" name="是否检索到 U0"/>
    <x:tableColumn id="10" name="首次相关检索时间"/>
    <x:tableColumn id="11" name="检索到的相关内容"/>
    <x:tableColumn id="12" name="检索前计划"/>
    <x:tableColumn id="13" name="检索后/新计划"/>
    <x:tableColumn id="14" name="实际行动"/>
    <x:tableColumn id="15" name="世界结果"/>
    <x:tableColumn id="16" name="是否发生角色间影响"/>
    <x:tableColumn id="17" name="影响对象"/>
    <x:tableColumn id="18" name="Gap/脆弱性证据"/>
    <x:tableColumn id="19" name="证据链接"/>
    <x:tableColumn id="20" name="备注"/>
    <x:tableColumn id="21" name="记录完整性"/>
  </x:tableColumns>
  <x:tableStyleInfo name="TableStyleMedium2" showFirstColumn="0" showLastColumn="0" showRowStripes="0" showColumnStripes="0"/>
</x:table>
</file>

<file path=xl/tables/table3.xml><?xml version="1.0" encoding="utf-8"?>
<x:table xmlns:x="http://schemas.openxmlformats.org/spreadsheetml/2006/main" id="3" name="ObservationRecords" displayName="ObservationRecords" ref="A4:V54" headerRowCount="1" totalsRowCount="0" totalsRowShown="0">
  <x:autoFilter ref="A4:V54"/>
  <x:tableColumns count="22">
    <x:tableColumn id="1" name="观察 ID"/>
    <x:tableColumn id="2" name="实验编号"/>
    <x:tableColumn id="3" name="运行 ID"/>
    <x:tableColumn id="4" name="当前意图版本"/>
    <x:tableColumn id="5" name="投递时间"/>
    <x:tableColumn id="6" name="目标居民"/>
    <x:tableColumn id="7" name="原始运行证据"/>
    <x:tableColumn id="8" name="观察文本（自然语言）"/>
    <x:tableColumn id="9" name="数学分类（事后）"/>
    <x:tableColumn id="10" name="投递时是否预设分类"/>
    <x:tableColumn id="11" name="记忆写入状态"/>
    <x:tableColumn id="12" name="记忆节点 ID"/>
    <x:tableColumn id="13" name="是否被检索"/>
    <x:tableColumn id="14" name="相关检索内容"/>
    <x:tableColumn id="15" name="投递前计划"/>
    <x:tableColumn id="16" name="投递后计划"/>
    <x:tableColumn id="17" name="实际行动"/>
    <x:tableColumn id="18" name="世界结果"/>
    <x:tableColumn id="19" name="相对当前版本效果"/>
    <x:tableColumn id="20" name="证据链接"/>
    <x:tableColumn id="21" name="备注"/>
    <x:tableColumn id="22" name="记录完整性"/>
  </x:tableColumns>
  <x:tableStyleInfo name="TableStyleMedium2" showFirstColumn="0" showLastColumn="0" showRowStripes="0" showColumnStripes="0"/>
</x:table>
</file>

<file path=xl/tables/table4.xml><?xml version="1.0" encoding="utf-8"?>
<x:table xmlns:x="http://schemas.openxmlformats.org/spreadsheetml/2006/main" id="4" name="ComparisonRecords" displayName="ComparisonRecords" ref="A4:X34" headerRowCount="1" totalsRowCount="0" totalsRowShown="0">
  <x:autoFilter ref="A4:X34"/>
  <x:tableColumns count="24">
    <x:tableColumn id="1" name="实验编号"/>
    <x:tableColumn id="2" name="对照对 ID"/>
    <x:tableColumn id="3" name="当前版本"/>
    <x:tableColumn id="4" name="起始存档修订（固定）"/>
    <x:tableColumn id="5" name="对照运行 ID"/>
    <x:tableColumn id="6" name="干预运行 ID"/>
    <x:tableColumn id="7" name="目标居民"/>
    <x:tableColumn id="8" name="观察 ID"/>
    <x:tableColumn id="9" name="对照条件说明"/>
    <x:tableColumn id="10" name="干预条件说明"/>
    <x:tableColumn id="11" name="对照行为"/>
    <x:tableColumn id="12" name="干预行为"/>
    <x:tableColumn id="13" name="对照世界结果"/>
    <x:tableColumn id="14" name="干预世界结果"/>
    <x:tableColumn id="15" name="Gap 基线评分"/>
    <x:tableColumn id="16" name="Gap 干预后评分"/>
    <x:tableColumn id="17" name="Gap 减少值"/>
    <x:tableColumn id="18" name="Gap 是否减少"/>
    <x:tableColumn id="19" name="新暴露的 Gap"/>
    <x:tableColumn id="20" name="人工判定"/>
    <x:tableColumn id="21" name="判定依据"/>
    <x:tableColumn id="22" name="对照证据链接"/>
    <x:tableColumn id="23" name="干预证据链接"/>
    <x:tableColumn id="24" name="完成状态"/>
  </x:tableColumns>
  <x:tableStyleInfo name="TableStyleMedium2" showFirstColumn="0" showLastColumn="0" showRowStripes="0" showColumnStripes="0"/>
</x:table>
</file>

<file path=xl/tables/table5.xml><?xml version="1.0" encoding="utf-8"?>
<x:table xmlns:x="http://schemas.openxmlformats.org/spreadsheetml/2006/main" id="5" name="ArchiveRecords" displayName="ArchiveRecords" ref="A4:J34" headerRowCount="1" totalsRowCount="0" totalsRowShown="0">
  <x:autoFilter ref="A4:J34"/>
  <x:tableColumns count="10">
    <x:tableColumn id="1" name="归档 ID"/>
    <x:tableColumn id="2" name="实验编号"/>
    <x:tableColumn id="3" name="意图版本"/>
    <x:tableColumn id="4" name="运行 ID"/>
    <x:tableColumn id="5" name="工件类型"/>
    <x:tableColumn id="6" name="核验状态"/>
    <x:tableColumn id="7" name="文件/链接位置"/>
    <x:tableColumn id="8" name="采集时间"/>
    <x:tableColumn id="9" name="核验人"/>
    <x:tableColumn id="10" name="备注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17a5fabcf2c41f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f9bcddec44e42e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c76b01ebad6474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e23ceef2433433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38718b13d4a4d4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5" hidden="0" customWidth="1"/>
    <x:col min="3" max="3" width="36" hidden="0" customWidth="1"/>
    <x:col min="4" max="4" width="34" hidden="0" customWidth="1"/>
    <x:col min="5" max="5" width="13" hidden="0" customWidth="1"/>
    <x:col min="6" max="6" width="17" hidden="0" customWidth="1"/>
    <x:col min="7" max="7" width="30" hidden="0" customWidth="1"/>
    <x:col min="8" max="8" width="24" hidden="0" customWidth="1"/>
  </x:cols>
  <x:sheetData>
    <x:row r="1" ht="34" customHeight="1">
      <x:c r="A1" s="4" t="str">
        <x:v>AI 小镇 U0 演化实验记录表</x:v>
      </x:c>
      <x:c r="B1" s="4"/>
      <x:c r="C1" s="4"/>
      <x:c r="D1" s="4"/>
      <x:c r="E1" s="4"/>
      <x:c r="F1" s="4"/>
      <x:c r="G1" s="4"/>
      <x:c r="H1" s="4"/>
    </x:row>
    <x:row r="2" ht="30" customHeight="1">
      <x:c r="A2" s="8" t="str">
        <x:v>用于记录 U0@v0 → 自然运行与链式微扰 → 局部观察投递 → U0@v1…vN → 再运行与比较的玩家端实验。黄色为待填写，灰色为自动计算。</x:v>
      </x:c>
      <x:c r="B2" s="8"/>
      <x:c r="C2" s="8"/>
      <x:c r="D2" s="8"/>
      <x:c r="E2" s="8"/>
      <x:c r="F2" s="8"/>
      <x:c r="G2" s="8"/>
      <x:c r="H2" s="8"/>
    </x:row>
    <x:row r="4" ht="36" customHeight="1">
      <x:c r="A4" s="14" t="str">
        <x:v>实验编号</x:v>
      </x:c>
      <x:c r="B4" s="14" t="str">
        <x:v>记录人</x:v>
      </x:c>
      <x:c r="C4" s="14" t="str">
        <x:v>开始日期</x:v>
      </x:c>
      <x:c r="D4" s="14" t="str">
        <x:v>小镇/存档槽</x:v>
      </x:c>
      <x:c r="E4" s="14" t="str">
        <x:v>基准版本</x:v>
      </x:c>
      <x:c r="F4" s="14" t="str">
        <x:v>对照起始修订</x:v>
      </x:c>
      <x:c r="G4" s="14" t="str">
        <x:v>总体状态</x:v>
      </x:c>
      <x:c r="H4" s="14" t="str">
        <x:v>完成率</x:v>
      </x:c>
    </x:row>
    <x:row r="5" ht="32" customHeight="1">
      <x:c r="A5" s="19" t="str"/>
      <x:c r="B5" s="19" t="str"/>
      <x:c r="C5" s="24"/>
      <x:c r="D5" s="19" t="str"/>
      <x:c r="E5" s="21" t="str">
        <x:v>U0@v0</x:v>
      </x:c>
      <x:c r="F5" s="19" t="str"/>
      <x:c r="G5" s="19" t="str">
        <x:v>未开始</x:v>
      </x:c>
      <x:c r="H5" s="23" t="n">
        <x:f>COUNTIF(E9:E18,"已完成")/10</x:f>
        <x:v>0</x:v>
      </x:c>
    </x:row>
    <x:row r="7">
      <x:c r="A7" s="26" t="str">
        <x:v>课后实验步骤</x:v>
      </x:c>
      <x:c r="B7" s="26"/>
      <x:c r="C7" s="26"/>
      <x:c r="D7" s="26"/>
      <x:c r="E7" s="26"/>
      <x:c r="F7" s="26"/>
      <x:c r="G7" s="26"/>
      <x:c r="H7" s="26"/>
    </x:row>
    <x:row r="8" ht="36" customHeight="1">
      <x:c r="A8" s="14" t="str">
        <x:v>步骤</x:v>
      </x:c>
      <x:c r="B8" s="14" t="str">
        <x:v>阶段</x:v>
      </x:c>
      <x:c r="C8" s="14" t="str">
        <x:v>玩家操作</x:v>
      </x:c>
      <x:c r="D8" s="14" t="str">
        <x:v>必须记录的证据</x:v>
      </x:c>
      <x:c r="E8" s="14" t="str">
        <x:v>状态</x:v>
      </x:c>
      <x:c r="F8" s="14" t="str">
        <x:v>对应工作表</x:v>
      </x:c>
      <x:c r="G8" s="14" t="str">
        <x:v>证据链接/位置</x:v>
      </x:c>
      <x:c r="H8" s="14" t="str">
        <x:v>备注</x:v>
      </x:c>
    </x:row>
    <x:row r="9" ht="32" customHeight="1">
      <x:c r="A9" s="21" t="n">
        <x:v>1</x:v>
      </x:c>
      <x:c r="B9" s="21" t="str">
        <x:v>建立基准</x:v>
      </x:c>
      <x:c r="C9" s="19" t="str">
        <x:v>选择一条不浓缩、可协作或暴露能力问题的 U0@v0。</x:v>
      </x:c>
      <x:c r="D9" s="19" t="str">
        <x:v>U0 原文、版本号、基线存档修订</x:v>
      </x:c>
      <x:c r="E9" s="19" t="str">
        <x:v>未开始</x:v>
      </x:c>
      <x:c r="F9" s="21" t="str">
        <x:v>版本记录</x:v>
      </x:c>
      <x:c r="G9" s="19" t="str"/>
      <x:c r="H9" s="19" t="str"/>
    </x:row>
    <x:row r="10" ht="32" customHeight="1">
      <x:c r="A10" s="31" t="n">
        <x:v>2</x:v>
      </x:c>
      <x:c r="B10" s="31" t="str">
        <x:v>确认投递</x:v>
      </x:c>
      <x:c r="C10" s="29" t="str">
        <x:v>确认 U0@v0 分别进入所有居民长期记忆。</x:v>
      </x:c>
      <x:c r="D10" s="29" t="str">
        <x:v>居民、记忆节点、排名/检索差异</x:v>
      </x:c>
      <x:c r="E10" s="29" t="str">
        <x:v>未开始</x:v>
      </x:c>
      <x:c r="F10" s="31" t="str">
        <x:v>居民检索行动</x:v>
      </x:c>
      <x:c r="G10" s="29" t="str"/>
      <x:c r="H10" s="29" t="str"/>
    </x:row>
    <x:row r="11" ht="32" customHeight="1">
      <x:c r="A11" s="31" t="n">
        <x:v>3</x:v>
      </x:c>
      <x:c r="B11" s="31" t="str">
        <x:v>自然运行</x:v>
      </x:c>
      <x:c r="C11" s="29" t="str">
        <x:v>不预设固定时间输入 U+ 或 U-，让小镇自然运行。</x:v>
      </x:c>
      <x:c r="D11" s="29" t="str">
        <x:v>运行 ID、世界时间、自然链式微扰</x:v>
      </x:c>
      <x:c r="E11" s="29" t="str">
        <x:v>未开始</x:v>
      </x:c>
      <x:c r="F11" s="31" t="str">
        <x:v>居民检索行动</x:v>
      </x:c>
      <x:c r="G11" s="29" t="str"/>
      <x:c r="H11" s="29" t="str"/>
    </x:row>
    <x:row r="12" ht="32" customHeight="1">
      <x:c r="A12" s="31" t="n">
        <x:v>4</x:v>
      </x:c>
      <x:c r="B12" s="31" t="str">
        <x:v>发现 Gap</x:v>
      </x:c>
      <x:c r="C12" s="29" t="str">
        <x:v>人工观察当前版本执行细节，记录一条有具体证据的差距。</x:v>
      </x:c>
      <x:c r="D12" s="29" t="str">
        <x:v>行为、世界结果、截图或 Trace</x:v>
      </x:c>
      <x:c r="E12" s="29" t="str">
        <x:v>未开始</x:v>
      </x:c>
      <x:c r="F12" s="31" t="str">
        <x:v>观察投递</x:v>
      </x:c>
      <x:c r="G12" s="29" t="str"/>
      <x:c r="H12" s="29" t="str"/>
    </x:row>
    <x:row r="13" ht="32" customHeight="1">
      <x:c r="A13" s="31" t="n">
        <x:v>5</x:v>
      </x:c>
      <x:c r="B13" s="31" t="str">
        <x:v>投递观察</x:v>
      </x:c>
      <x:c r="C13" s="29" t="str">
        <x:v>向一名相关居民投下一条自然语言观察结果。</x:v>
      </x:c>
      <x:c r="D13" s="29" t="str">
        <x:v>观察文本、记忆、计划、行动、世界结果</x:v>
      </x:c>
      <x:c r="E13" s="29" t="str">
        <x:v>未开始</x:v>
      </x:c>
      <x:c r="F13" s="31" t="str">
        <x:v>观察投递</x:v>
      </x:c>
      <x:c r="G13" s="29" t="str"/>
      <x:c r="H13" s="29" t="str"/>
    </x:row>
    <x:row r="14" ht="32" customHeight="1">
      <x:c r="A14" s="31" t="n">
        <x:v>6</x:v>
      </x:c>
      <x:c r="B14" s="31" t="str">
        <x:v>事后分类</x:v>
      </x:c>
      <x:c r="C14" s="29" t="str">
        <x:v>根据实际效果判断观察是正向、负向还是基本关联。</x:v>
      </x:c>
      <x:c r="D14" s="29" t="str">
        <x:v>判定与证据，不预先贴标签</x:v>
      </x:c>
      <x:c r="E14" s="29" t="str">
        <x:v>未开始</x:v>
      </x:c>
      <x:c r="F14" s="31" t="str">
        <x:v>观察投递</x:v>
      </x:c>
      <x:c r="G14" s="29" t="str"/>
      <x:c r="H14" s="29" t="str"/>
    </x:row>
    <x:row r="15" ht="32" customHeight="1">
      <x:c r="A15" s="31" t="n">
        <x:v>7</x:v>
      </x:c>
      <x:c r="B15" s="31" t="str">
        <x:v>提出新版本</x:v>
      </x:c>
      <x:c r="C15" s="29" t="str">
        <x:v>根据 Gap 和干预结果编写 U0@v1，说明保留什么、改变什么。</x:v>
      </x:c>
      <x:c r="D15" s="29" t="str">
        <x:v>父版本、候选意图、Gap 依据</x:v>
      </x:c>
      <x:c r="E15" s="29" t="str">
        <x:v>未开始</x:v>
      </x:c>
      <x:c r="F15" s="31" t="str">
        <x:v>版本记录</x:v>
      </x:c>
      <x:c r="G15" s="29" t="str"/>
      <x:c r="H15" s="29" t="str"/>
    </x:row>
    <x:row r="16" ht="32" customHeight="1">
      <x:c r="A16" s="31" t="n">
        <x:v>8</x:v>
      </x:c>
      <x:c r="B16" s="31" t="str">
        <x:v>批准并投递</x:v>
      </x:c>
      <x:c r="C16" s="29" t="str">
        <x:v>加载存档，在明确版本边界上批准并向所有居民投递新意图。</x:v>
      </x:c>
      <x:c r="D16" s="29" t="str">
        <x:v>批准人、投递覆盖率、新存档修订</x:v>
      </x:c>
      <x:c r="E16" s="29" t="str">
        <x:v>未开始</x:v>
      </x:c>
      <x:c r="F16" s="31" t="str">
        <x:v>版本记录</x:v>
      </x:c>
      <x:c r="G16" s="29" t="str"/>
      <x:c r="H16" s="29" t="str"/>
    </x:row>
    <x:row r="17" ht="32" customHeight="1">
      <x:c r="A17" s="31" t="n">
        <x:v>9</x:v>
      </x:c>
      <x:c r="B17" s="31" t="str">
        <x:v>版本对比</x:v>
      </x:c>
      <x:c r="C17" s="29" t="str">
        <x:v>对比版本突出前后的行为与世界结果，并记录新暴露的差距。</x:v>
      </x:c>
      <x:c r="D17" s="29" t="str">
        <x:v>同一起始修订下的对照与干预证据</x:v>
      </x:c>
      <x:c r="E17" s="29" t="str">
        <x:v>未开始</x:v>
      </x:c>
      <x:c r="F17" s="31" t="str">
        <x:v>对照实验</x:v>
      </x:c>
      <x:c r="G17" s="29" t="str"/>
      <x:c r="H17" s="29" t="str"/>
    </x:row>
    <x:row r="18" ht="32" customHeight="1">
      <x:c r="A18" s="31" t="n">
        <x:v>10</x:v>
      </x:c>
      <x:c r="B18" s="31" t="str">
        <x:v>完整归档</x:v>
      </x:c>
      <x:c r="C18" s="29" t="str">
        <x:v>保存存档修订、意图版本、观察、记忆、决策 Trace、思考和世界结果。</x:v>
      </x:c>
      <x:c r="D18" s="29" t="str">
        <x:v>归档位置、核验状态、缺失项</x:v>
      </x:c>
      <x:c r="E18" s="29" t="str">
        <x:v>未开始</x:v>
      </x:c>
      <x:c r="F18" s="31" t="str">
        <x:v>归档清单</x:v>
      </x:c>
      <x:c r="G18" s="29" t="str"/>
      <x:c r="H18" s="29" t="str"/>
    </x:row>
    <x:row r="20" ht="40" customHeight="1">
      <x:c r="A20" s="35" t="str">
        <x:v>实验边界：当前由人发现 Gap、投递观察、批准下一版意图并作最终判定；Builder 自动发现 Gap 与自动提出候选版本不属于本轮实验。</x:v>
      </x:c>
      <x:c r="B20" s="35"/>
      <x:c r="C20" s="35"/>
      <x:c r="D20" s="35"/>
      <x:c r="E20" s="35"/>
      <x:c r="F20" s="35"/>
      <x:c r="G20" s="35"/>
      <x:c r="H20" s="35"/>
    </x:row>
  </x:sheetData>
  <x:mergeCells>
    <x:mergeCell ref="A1:H1"/>
    <x:mergeCell ref="A2:H2"/>
    <x:mergeCell ref="A7:H7"/>
    <x:mergeCell ref="A20:H20"/>
  </x:mergeCells>
  <x:conditionalFormatting sqref="E9:E18">
    <x:cfRule type="containsText" dxfId="0" priority="1" operator="containsText" text="已完成"/>
    <x:cfRule type="containsText" dxfId="1" priority="2" operator="containsText" text="进行中"/>
    <x:cfRule type="containsText" dxfId="2" priority="3" operator="containsText" text="失败"/>
  </x:conditionalFormatting>
  <x:dataValidations count="2">
    <x:dataValidation type="list" sqref="G5">
      <x:formula1>"未开始,进行中,已完成,暂停"</x:formula1>
    </x:dataValidation>
    <x:dataValidation type="list" sqref="E9:E18">
      <x:formula1>"未开始,进行中,已完成,不适用"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2" hidden="0" customWidth="1"/>
    <x:col min="3" max="3" width="12" hidden="0" customWidth="1"/>
    <x:col min="4" max="4" width="13" hidden="0" customWidth="1"/>
    <x:col min="5" max="5" width="17" hidden="0" customWidth="1"/>
    <x:col min="6" max="6" width="13" hidden="0" customWidth="1"/>
    <x:col min="7" max="7" width="18" hidden="0" customWidth="1"/>
    <x:col min="8" max="8" width="16" hidden="0" customWidth="1"/>
    <x:col min="9" max="9" width="48" hidden="0" customWidth="1"/>
    <x:col min="10" max="10" width="28" hidden="0" customWidth="1"/>
    <x:col min="11" max="11" width="28" hidden="0" customWidth="1"/>
    <x:col min="12" max="12" width="36" hidden="0" customWidth="1"/>
    <x:col min="13" max="13" width="13" hidden="0" customWidth="1"/>
    <x:col min="14" max="14" width="13" hidden="0" customWidth="1"/>
    <x:col min="15" max="15" width="18" hidden="0" customWidth="1"/>
    <x:col min="16" max="16" width="14" hidden="0" customWidth="1"/>
    <x:col min="17" max="17" width="18" hidden="0" customWidth="1"/>
    <x:col min="18" max="18" width="34" hidden="0" customWidth="1"/>
    <x:col min="19" max="19" width="26" hidden="0" customWidth="1"/>
    <x:col min="20" max="20" width="14" hidden="0" customWidth="1"/>
  </x:cols>
  <x:sheetData>
    <x:row r="1" ht="34" customHeight="1">
      <x:c r="A1" s="4" t="str">
        <x:v>共同意图版本记录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</x:row>
    <x:row r="2" ht="30" customHeight="1">
      <x:c r="A2" s="8" t="str">
        <x:v>每一行是一版全镇共同意图。U0@v1…vN 与 U0@v0 性质相同，但必须保留父版本、批准边界、全镇投递和新存档修订。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T2" s="8"/>
    </x:row>
    <x:row r="4" ht="36" customHeight="1">
      <x:c r="A4" s="14" t="str">
        <x:v>实验编号</x:v>
      </x:c>
      <x:c r="B4" s="14" t="str">
        <x:v>版本</x:v>
      </x:c>
      <x:c r="C4" s="14" t="str">
        <x:v>父版本</x:v>
      </x:c>
      <x:c r="D4" s="14" t="str">
        <x:v>版本状态</x:v>
      </x:c>
      <x:c r="E4" s="14" t="str">
        <x:v>提出时间</x:v>
      </x:c>
      <x:c r="F4" s="14" t="str">
        <x:v>提出者</x:v>
      </x:c>
      <x:c r="G4" s="14" t="str">
        <x:v>基线存档修订</x:v>
      </x:c>
      <x:c r="H4" s="14" t="str">
        <x:v>基线世界时间</x:v>
      </x:c>
      <x:c r="I4" s="14" t="str">
        <x:v>共同意图全文</x:v>
      </x:c>
      <x:c r="J4" s="14" t="str">
        <x:v>保留内容</x:v>
      </x:c>
      <x:c r="K4" s="14" t="str">
        <x:v>改变内容</x:v>
      </x:c>
      <x:c r="L4" s="14" t="str">
        <x:v>Gap 证据</x:v>
      </x:c>
      <x:c r="M4" s="14" t="str">
        <x:v>批准状态</x:v>
      </x:c>
      <x:c r="N4" s="14" t="str">
        <x:v>批准人</x:v>
      </x:c>
      <x:c r="O4" s="14" t="str">
        <x:v>全镇投递时间</x:v>
      </x:c>
      <x:c r="P4" s="14" t="str">
        <x:v>投递覆盖率</x:v>
      </x:c>
      <x:c r="Q4" s="14" t="str">
        <x:v>新存档修订</x:v>
      </x:c>
      <x:c r="R4" s="14" t="str">
        <x:v>证据链接</x:v>
      </x:c>
      <x:c r="S4" s="14" t="str">
        <x:v>备注</x:v>
      </x:c>
      <x:c r="T4" s="14" t="str">
        <x:v>记录完整性</x:v>
      </x:c>
    </x:row>
    <x:row r="5" ht="32" customHeight="1">
      <x:c r="A5" s="19" t="str"/>
      <x:c r="B5" s="21" t="str">
        <x:v>U0@v0</x:v>
      </x:c>
      <x:c r="C5" s="21" t="str"/>
      <x:c r="D5" s="19" t="str">
        <x:v>候选</x:v>
      </x:c>
      <x:c r="E5" s="38"/>
      <x:c r="F5" s="19" t="str"/>
      <x:c r="G5" s="19" t="str"/>
      <x:c r="H5" s="19" t="str"/>
      <x:c r="I5" s="19" t="str"/>
      <x:c r="J5" s="19" t="str"/>
      <x:c r="K5" s="19" t="str"/>
      <x:c r="L5" s="19" t="str"/>
      <x:c r="M5" s="19" t="str">
        <x:v>待审核</x:v>
      </x:c>
      <x:c r="N5" s="19" t="str"/>
      <x:c r="O5" s="38"/>
      <x:c r="P5" s="40"/>
      <x:c r="Q5" s="19" t="str"/>
      <x:c r="R5" s="19" t="str"/>
      <x:c r="S5" s="19" t="str"/>
      <x:c r="T5" s="36" t="str">
        <x:f>IF(I5="","未填写",IF(AND(M5="已批准",Q5&lt;&gt;"",P5&gt;=1),"可追溯","待补充"))</x:f>
        <x:v>未填写</x:v>
      </x:c>
    </x:row>
    <x:row r="6" ht="32" customHeight="1">
      <x:c r="A6" s="29" t="str"/>
      <x:c r="B6" s="31" t="str">
        <x:v>U0@v1</x:v>
      </x:c>
      <x:c r="C6" s="31" t="str">
        <x:v>U0@v0</x:v>
      </x:c>
      <x:c r="D6" s="29" t="str">
        <x:v>候选</x:v>
      </x:c>
      <x:c r="E6" s="39"/>
      <x:c r="F6" s="29" t="str"/>
      <x:c r="G6" s="29" t="str"/>
      <x:c r="H6" s="29" t="str"/>
      <x:c r="I6" s="29" t="str"/>
      <x:c r="J6" s="29" t="str"/>
      <x:c r="K6" s="29" t="str"/>
      <x:c r="L6" s="29" t="str"/>
      <x:c r="M6" s="29" t="str">
        <x:v>待审核</x:v>
      </x:c>
      <x:c r="N6" s="29" t="str"/>
      <x:c r="O6" s="39"/>
      <x:c r="P6" s="41"/>
      <x:c r="Q6" s="29" t="str"/>
      <x:c r="R6" s="29" t="str"/>
      <x:c r="S6" s="29" t="str"/>
      <x:c r="T6" s="37" t="str">
        <x:f>IF(I6="","未填写",IF(AND(M6="已批准",Q6&lt;&gt;"",P6&gt;=1),"可追溯","待补充"))</x:f>
        <x:v>未填写</x:v>
      </x:c>
    </x:row>
    <x:row r="7" ht="32" customHeight="1">
      <x:c r="A7" s="29" t="str"/>
      <x:c r="B7" s="31" t="str">
        <x:v>U0@v2</x:v>
      </x:c>
      <x:c r="C7" s="31" t="str">
        <x:v>U0@v1</x:v>
      </x:c>
      <x:c r="D7" s="29" t="str">
        <x:v>候选</x:v>
      </x:c>
      <x:c r="E7" s="39"/>
      <x:c r="F7" s="29" t="str"/>
      <x:c r="G7" s="29" t="str"/>
      <x:c r="H7" s="29" t="str"/>
      <x:c r="I7" s="29" t="str"/>
      <x:c r="J7" s="29" t="str"/>
      <x:c r="K7" s="29" t="str"/>
      <x:c r="L7" s="29" t="str"/>
      <x:c r="M7" s="29" t="str">
        <x:v>待审核</x:v>
      </x:c>
      <x:c r="N7" s="29" t="str"/>
      <x:c r="O7" s="39"/>
      <x:c r="P7" s="41"/>
      <x:c r="Q7" s="29" t="str"/>
      <x:c r="R7" s="29" t="str"/>
      <x:c r="S7" s="29" t="str"/>
      <x:c r="T7" s="37" t="str">
        <x:f>IF(I7="","未填写",IF(AND(M7="已批准",Q7&lt;&gt;"",P7&gt;=1),"可追溯","待补充"))</x:f>
        <x:v>未填写</x:v>
      </x:c>
    </x:row>
    <x:row r="8" ht="32" customHeight="1">
      <x:c r="A8" s="29" t="str"/>
      <x:c r="B8" s="31" t="str">
        <x:v>U0@v3</x:v>
      </x:c>
      <x:c r="C8" s="31" t="str">
        <x:v>U0@v2</x:v>
      </x:c>
      <x:c r="D8" s="29" t="str">
        <x:v>候选</x:v>
      </x:c>
      <x:c r="E8" s="39"/>
      <x:c r="F8" s="29" t="str"/>
      <x:c r="G8" s="29" t="str"/>
      <x:c r="H8" s="29" t="str"/>
      <x:c r="I8" s="29" t="str"/>
      <x:c r="J8" s="29" t="str"/>
      <x:c r="K8" s="29" t="str"/>
      <x:c r="L8" s="29" t="str"/>
      <x:c r="M8" s="29" t="str">
        <x:v>待审核</x:v>
      </x:c>
      <x:c r="N8" s="29" t="str"/>
      <x:c r="O8" s="39"/>
      <x:c r="P8" s="41"/>
      <x:c r="Q8" s="29" t="str"/>
      <x:c r="R8" s="29" t="str"/>
      <x:c r="S8" s="29" t="str"/>
      <x:c r="T8" s="37" t="str">
        <x:f>IF(I8="","未填写",IF(AND(M8="已批准",Q8&lt;&gt;"",P8&gt;=1),"可追溯","待补充"))</x:f>
        <x:v>未填写</x:v>
      </x:c>
    </x:row>
    <x:row r="9" ht="32" customHeight="1">
      <x:c r="A9" s="29" t="str"/>
      <x:c r="B9" s="31" t="str">
        <x:v>U0@v4</x:v>
      </x:c>
      <x:c r="C9" s="31" t="str">
        <x:v>U0@v3</x:v>
      </x:c>
      <x:c r="D9" s="29" t="str">
        <x:v>候选</x:v>
      </x:c>
      <x:c r="E9" s="39"/>
      <x:c r="F9" s="29" t="str"/>
      <x:c r="G9" s="29" t="str"/>
      <x:c r="H9" s="29" t="str"/>
      <x:c r="I9" s="29" t="str"/>
      <x:c r="J9" s="29" t="str"/>
      <x:c r="K9" s="29" t="str"/>
      <x:c r="L9" s="29" t="str"/>
      <x:c r="M9" s="29" t="str">
        <x:v>待审核</x:v>
      </x:c>
      <x:c r="N9" s="29" t="str"/>
      <x:c r="O9" s="39"/>
      <x:c r="P9" s="41"/>
      <x:c r="Q9" s="29" t="str"/>
      <x:c r="R9" s="29" t="str"/>
      <x:c r="S9" s="29" t="str"/>
      <x:c r="T9" s="37" t="str">
        <x:f>IF(I9="","未填写",IF(AND(M9="已批准",Q9&lt;&gt;"",P9&gt;=1),"可追溯","待补充"))</x:f>
        <x:v>未填写</x:v>
      </x:c>
    </x:row>
    <x:row r="10" ht="32" customHeight="1">
      <x:c r="A10" s="29" t="str"/>
      <x:c r="B10" s="31" t="str">
        <x:v>U0@v5</x:v>
      </x:c>
      <x:c r="C10" s="31" t="str">
        <x:v>U0@v4</x:v>
      </x:c>
      <x:c r="D10" s="29" t="str">
        <x:v>候选</x:v>
      </x:c>
      <x:c r="E10" s="39"/>
      <x:c r="F10" s="29" t="str"/>
      <x:c r="G10" s="29" t="str"/>
      <x:c r="H10" s="29" t="str"/>
      <x:c r="I10" s="29" t="str"/>
      <x:c r="J10" s="29" t="str"/>
      <x:c r="K10" s="29" t="str"/>
      <x:c r="L10" s="29" t="str"/>
      <x:c r="M10" s="29" t="str">
        <x:v>待审核</x:v>
      </x:c>
      <x:c r="N10" s="29" t="str"/>
      <x:c r="O10" s="39"/>
      <x:c r="P10" s="41"/>
      <x:c r="Q10" s="29" t="str"/>
      <x:c r="R10" s="29" t="str"/>
      <x:c r="S10" s="29" t="str"/>
      <x:c r="T10" s="37" t="str">
        <x:f>IF(I10="","未填写",IF(AND(M10="已批准",Q10&lt;&gt;"",P10&gt;=1),"可追溯","待补充"))</x:f>
        <x:v>未填写</x:v>
      </x:c>
    </x:row>
    <x:row r="11" ht="32" customHeight="1">
      <x:c r="A11" s="29" t="str"/>
      <x:c r="B11" s="31" t="str">
        <x:v>U0@v6</x:v>
      </x:c>
      <x:c r="C11" s="31" t="str">
        <x:v>U0@v5</x:v>
      </x:c>
      <x:c r="D11" s="29" t="str">
        <x:v>候选</x:v>
      </x:c>
      <x:c r="E11" s="39"/>
      <x:c r="F11" s="29" t="str"/>
      <x:c r="G11" s="29" t="str"/>
      <x:c r="H11" s="29" t="str"/>
      <x:c r="I11" s="29" t="str"/>
      <x:c r="J11" s="29" t="str"/>
      <x:c r="K11" s="29" t="str"/>
      <x:c r="L11" s="29" t="str"/>
      <x:c r="M11" s="29" t="str">
        <x:v>待审核</x:v>
      </x:c>
      <x:c r="N11" s="29" t="str"/>
      <x:c r="O11" s="39"/>
      <x:c r="P11" s="41"/>
      <x:c r="Q11" s="29" t="str"/>
      <x:c r="R11" s="29" t="str"/>
      <x:c r="S11" s="29" t="str"/>
      <x:c r="T11" s="37" t="str">
        <x:f>IF(I11="","未填写",IF(AND(M11="已批准",Q11&lt;&gt;"",P11&gt;=1),"可追溯","待补充"))</x:f>
        <x:v>未填写</x:v>
      </x:c>
    </x:row>
    <x:row r="12" ht="32" customHeight="1">
      <x:c r="A12" s="29" t="str"/>
      <x:c r="B12" s="31" t="str">
        <x:v>U0@v7</x:v>
      </x:c>
      <x:c r="C12" s="31" t="str">
        <x:v>U0@v6</x:v>
      </x:c>
      <x:c r="D12" s="29" t="str">
        <x:v>候选</x:v>
      </x:c>
      <x:c r="E12" s="39"/>
      <x:c r="F12" s="29" t="str"/>
      <x:c r="G12" s="29" t="str"/>
      <x:c r="H12" s="29" t="str"/>
      <x:c r="I12" s="29" t="str"/>
      <x:c r="J12" s="29" t="str"/>
      <x:c r="K12" s="29" t="str"/>
      <x:c r="L12" s="29" t="str"/>
      <x:c r="M12" s="29" t="str">
        <x:v>待审核</x:v>
      </x:c>
      <x:c r="N12" s="29" t="str"/>
      <x:c r="O12" s="39"/>
      <x:c r="P12" s="41"/>
      <x:c r="Q12" s="29" t="str"/>
      <x:c r="R12" s="29" t="str"/>
      <x:c r="S12" s="29" t="str"/>
      <x:c r="T12" s="37" t="str">
        <x:f>IF(I12="","未填写",IF(AND(M12="已批准",Q12&lt;&gt;"",P12&gt;=1),"可追溯","待补充"))</x:f>
        <x:v>未填写</x:v>
      </x:c>
    </x:row>
    <x:row r="13" ht="32" customHeight="1">
      <x:c r="A13" s="29" t="str"/>
      <x:c r="B13" s="31" t="str">
        <x:v>U0@v8</x:v>
      </x:c>
      <x:c r="C13" s="31" t="str">
        <x:v>U0@v7</x:v>
      </x:c>
      <x:c r="D13" s="29" t="str">
        <x:v>候选</x:v>
      </x:c>
      <x:c r="E13" s="39"/>
      <x:c r="F13" s="29" t="str"/>
      <x:c r="G13" s="29" t="str"/>
      <x:c r="H13" s="29" t="str"/>
      <x:c r="I13" s="29" t="str"/>
      <x:c r="J13" s="29" t="str"/>
      <x:c r="K13" s="29" t="str"/>
      <x:c r="L13" s="29" t="str"/>
      <x:c r="M13" s="29" t="str">
        <x:v>待审核</x:v>
      </x:c>
      <x:c r="N13" s="29" t="str"/>
      <x:c r="O13" s="39"/>
      <x:c r="P13" s="41"/>
      <x:c r="Q13" s="29" t="str"/>
      <x:c r="R13" s="29" t="str"/>
      <x:c r="S13" s="29" t="str"/>
      <x:c r="T13" s="37" t="str">
        <x:f>IF(I13="","未填写",IF(AND(M13="已批准",Q13&lt;&gt;"",P13&gt;=1),"可追溯","待补充"))</x:f>
        <x:v>未填写</x:v>
      </x:c>
    </x:row>
    <x:row r="14" ht="32" customHeight="1">
      <x:c r="A14" s="29" t="str"/>
      <x:c r="B14" s="31" t="str">
        <x:v>U0@v9</x:v>
      </x:c>
      <x:c r="C14" s="31" t="str">
        <x:v>U0@v8</x:v>
      </x:c>
      <x:c r="D14" s="29" t="str">
        <x:v>候选</x:v>
      </x:c>
      <x:c r="E14" s="39"/>
      <x:c r="F14" s="29" t="str"/>
      <x:c r="G14" s="29" t="str"/>
      <x:c r="H14" s="29" t="str"/>
      <x:c r="I14" s="29" t="str"/>
      <x:c r="J14" s="29" t="str"/>
      <x:c r="K14" s="29" t="str"/>
      <x:c r="L14" s="29" t="str"/>
      <x:c r="M14" s="29" t="str">
        <x:v>待审核</x:v>
      </x:c>
      <x:c r="N14" s="29" t="str"/>
      <x:c r="O14" s="39"/>
      <x:c r="P14" s="41"/>
      <x:c r="Q14" s="29" t="str"/>
      <x:c r="R14" s="29" t="str"/>
      <x:c r="S14" s="29" t="str"/>
      <x:c r="T14" s="37" t="str">
        <x:f>IF(I14="","未填写",IF(AND(M14="已批准",Q14&lt;&gt;"",P14&gt;=1),"可追溯","待补充"))</x:f>
        <x:v>未填写</x:v>
      </x:c>
    </x:row>
    <x:row r="15" ht="32" customHeight="1">
      <x:c r="A15" s="29" t="str"/>
      <x:c r="B15" s="31" t="str">
        <x:v>U0@v10</x:v>
      </x:c>
      <x:c r="C15" s="31" t="str">
        <x:v>U0@v9</x:v>
      </x:c>
      <x:c r="D15" s="29" t="str">
        <x:v>候选</x:v>
      </x:c>
      <x:c r="E15" s="39"/>
      <x:c r="F15" s="29" t="str"/>
      <x:c r="G15" s="29" t="str"/>
      <x:c r="H15" s="29" t="str"/>
      <x:c r="I15" s="29" t="str"/>
      <x:c r="J15" s="29" t="str"/>
      <x:c r="K15" s="29" t="str"/>
      <x:c r="L15" s="29" t="str"/>
      <x:c r="M15" s="29" t="str">
        <x:v>待审核</x:v>
      </x:c>
      <x:c r="N15" s="29" t="str"/>
      <x:c r="O15" s="39"/>
      <x:c r="P15" s="41"/>
      <x:c r="Q15" s="29" t="str"/>
      <x:c r="R15" s="29" t="str"/>
      <x:c r="S15" s="29" t="str"/>
      <x:c r="T15" s="37" t="str">
        <x:f>IF(I15="","未填写",IF(AND(M15="已批准",Q15&lt;&gt;"",P15&gt;=1),"可追溯","待补充"))</x:f>
        <x:v>未填写</x:v>
      </x:c>
    </x:row>
    <x:row r="16" ht="32" customHeight="1">
      <x:c r="A16" s="29" t="str"/>
      <x:c r="B16" s="31" t="str">
        <x:v>U0@v11</x:v>
      </x:c>
      <x:c r="C16" s="31" t="str">
        <x:v>U0@v10</x:v>
      </x:c>
      <x:c r="D16" s="29" t="str">
        <x:v>候选</x:v>
      </x:c>
      <x:c r="E16" s="39"/>
      <x:c r="F16" s="29" t="str"/>
      <x:c r="G16" s="29" t="str"/>
      <x:c r="H16" s="29" t="str"/>
      <x:c r="I16" s="29" t="str"/>
      <x:c r="J16" s="29" t="str"/>
      <x:c r="K16" s="29" t="str"/>
      <x:c r="L16" s="29" t="str"/>
      <x:c r="M16" s="29" t="str">
        <x:v>待审核</x:v>
      </x:c>
      <x:c r="N16" s="29" t="str"/>
      <x:c r="O16" s="39"/>
      <x:c r="P16" s="41"/>
      <x:c r="Q16" s="29" t="str"/>
      <x:c r="R16" s="29" t="str"/>
      <x:c r="S16" s="29" t="str"/>
      <x:c r="T16" s="37" t="str">
        <x:f>IF(I16="","未填写",IF(AND(M16="已批准",Q16&lt;&gt;"",P16&gt;=1),"可追溯","待补充"))</x:f>
        <x:v>未填写</x:v>
      </x:c>
    </x:row>
    <x:row r="17" ht="32" customHeight="1">
      <x:c r="A17" s="29" t="str"/>
      <x:c r="B17" s="31" t="str">
        <x:v>U0@v12</x:v>
      </x:c>
      <x:c r="C17" s="31" t="str">
        <x:v>U0@v11</x:v>
      </x:c>
      <x:c r="D17" s="29" t="str">
        <x:v>候选</x:v>
      </x:c>
      <x:c r="E17" s="39"/>
      <x:c r="F17" s="29" t="str"/>
      <x:c r="G17" s="29" t="str"/>
      <x:c r="H17" s="29" t="str"/>
      <x:c r="I17" s="29" t="str"/>
      <x:c r="J17" s="29" t="str"/>
      <x:c r="K17" s="29" t="str"/>
      <x:c r="L17" s="29" t="str"/>
      <x:c r="M17" s="29" t="str">
        <x:v>待审核</x:v>
      </x:c>
      <x:c r="N17" s="29" t="str"/>
      <x:c r="O17" s="39"/>
      <x:c r="P17" s="41"/>
      <x:c r="Q17" s="29" t="str"/>
      <x:c r="R17" s="29" t="str"/>
      <x:c r="S17" s="29" t="str"/>
      <x:c r="T17" s="37" t="str">
        <x:f>IF(I17="","未填写",IF(AND(M17="已批准",Q17&lt;&gt;"",P17&gt;=1),"可追溯","待补充"))</x:f>
        <x:v>未填写</x:v>
      </x:c>
    </x:row>
    <x:row r="18" ht="32" customHeight="1">
      <x:c r="A18" s="29" t="str"/>
      <x:c r="B18" s="31" t="str">
        <x:v>U0@v13</x:v>
      </x:c>
      <x:c r="C18" s="31" t="str">
        <x:v>U0@v12</x:v>
      </x:c>
      <x:c r="D18" s="29" t="str">
        <x:v>候选</x:v>
      </x:c>
      <x:c r="E18" s="39"/>
      <x:c r="F18" s="29" t="str"/>
      <x:c r="G18" s="29" t="str"/>
      <x:c r="H18" s="29" t="str"/>
      <x:c r="I18" s="29" t="str"/>
      <x:c r="J18" s="29" t="str"/>
      <x:c r="K18" s="29" t="str"/>
      <x:c r="L18" s="29" t="str"/>
      <x:c r="M18" s="29" t="str">
        <x:v>待审核</x:v>
      </x:c>
      <x:c r="N18" s="29" t="str"/>
      <x:c r="O18" s="39"/>
      <x:c r="P18" s="41"/>
      <x:c r="Q18" s="29" t="str"/>
      <x:c r="R18" s="29" t="str"/>
      <x:c r="S18" s="29" t="str"/>
      <x:c r="T18" s="37" t="str">
        <x:f>IF(I18="","未填写",IF(AND(M18="已批准",Q18&lt;&gt;"",P18&gt;=1),"可追溯","待补充"))</x:f>
        <x:v>未填写</x:v>
      </x:c>
    </x:row>
    <x:row r="19" ht="32" customHeight="1">
      <x:c r="A19" s="29" t="str"/>
      <x:c r="B19" s="31" t="str">
        <x:v>U0@v14</x:v>
      </x:c>
      <x:c r="C19" s="31" t="str">
        <x:v>U0@v13</x:v>
      </x:c>
      <x:c r="D19" s="29" t="str">
        <x:v>候选</x:v>
      </x:c>
      <x:c r="E19" s="39"/>
      <x:c r="F19" s="29" t="str"/>
      <x:c r="G19" s="29" t="str"/>
      <x:c r="H19" s="29" t="str"/>
      <x:c r="I19" s="29" t="str"/>
      <x:c r="J19" s="29" t="str"/>
      <x:c r="K19" s="29" t="str"/>
      <x:c r="L19" s="29" t="str"/>
      <x:c r="M19" s="29" t="str">
        <x:v>待审核</x:v>
      </x:c>
      <x:c r="N19" s="29" t="str"/>
      <x:c r="O19" s="39"/>
      <x:c r="P19" s="41"/>
      <x:c r="Q19" s="29" t="str"/>
      <x:c r="R19" s="29" t="str"/>
      <x:c r="S19" s="29" t="str"/>
      <x:c r="T19" s="37" t="str">
        <x:f>IF(I19="","未填写",IF(AND(M19="已批准",Q19&lt;&gt;"",P19&gt;=1),"可追溯","待补充"))</x:f>
        <x:v>未填写</x:v>
      </x:c>
    </x:row>
    <x:row r="20" ht="32" customHeight="1">
      <x:c r="A20" s="29" t="str"/>
      <x:c r="B20" s="31" t="str">
        <x:v>U0@v15</x:v>
      </x:c>
      <x:c r="C20" s="31" t="str">
        <x:v>U0@v14</x:v>
      </x:c>
      <x:c r="D20" s="29" t="str">
        <x:v>候选</x:v>
      </x:c>
      <x:c r="E20" s="39"/>
      <x:c r="F20" s="29" t="str"/>
      <x:c r="G20" s="29" t="str"/>
      <x:c r="H20" s="29" t="str"/>
      <x:c r="I20" s="29" t="str"/>
      <x:c r="J20" s="29" t="str"/>
      <x:c r="K20" s="29" t="str"/>
      <x:c r="L20" s="29" t="str"/>
      <x:c r="M20" s="29" t="str">
        <x:v>待审核</x:v>
      </x:c>
      <x:c r="N20" s="29" t="str"/>
      <x:c r="O20" s="39"/>
      <x:c r="P20" s="41"/>
      <x:c r="Q20" s="29" t="str"/>
      <x:c r="R20" s="29" t="str"/>
      <x:c r="S20" s="29" t="str"/>
      <x:c r="T20" s="37" t="str">
        <x:f>IF(I20="","未填写",IF(AND(M20="已批准",Q20&lt;&gt;"",P20&gt;=1),"可追溯","待补充"))</x:f>
        <x:v>未填写</x:v>
      </x:c>
    </x:row>
    <x:row r="21" ht="32" customHeight="1">
      <x:c r="A21" s="29" t="str"/>
      <x:c r="B21" s="31" t="str">
        <x:v>U0@v16</x:v>
      </x:c>
      <x:c r="C21" s="31" t="str">
        <x:v>U0@v15</x:v>
      </x:c>
      <x:c r="D21" s="29" t="str">
        <x:v>候选</x:v>
      </x:c>
      <x:c r="E21" s="39"/>
      <x:c r="F21" s="29" t="str"/>
      <x:c r="G21" s="29" t="str"/>
      <x:c r="H21" s="29" t="str"/>
      <x:c r="I21" s="29" t="str"/>
      <x:c r="J21" s="29" t="str"/>
      <x:c r="K21" s="29" t="str"/>
      <x:c r="L21" s="29" t="str"/>
      <x:c r="M21" s="29" t="str">
        <x:v>待审核</x:v>
      </x:c>
      <x:c r="N21" s="29" t="str"/>
      <x:c r="O21" s="39"/>
      <x:c r="P21" s="41"/>
      <x:c r="Q21" s="29" t="str"/>
      <x:c r="R21" s="29" t="str"/>
      <x:c r="S21" s="29" t="str"/>
      <x:c r="T21" s="37" t="str">
        <x:f>IF(I21="","未填写",IF(AND(M21="已批准",Q21&lt;&gt;"",P21&gt;=1),"可追溯","待补充"))</x:f>
        <x:v>未填写</x:v>
      </x:c>
    </x:row>
    <x:row r="22" ht="32" customHeight="1">
      <x:c r="A22" s="29" t="str"/>
      <x:c r="B22" s="31" t="str">
        <x:v>U0@v17</x:v>
      </x:c>
      <x:c r="C22" s="31" t="str">
        <x:v>U0@v16</x:v>
      </x:c>
      <x:c r="D22" s="29" t="str">
        <x:v>候选</x:v>
      </x:c>
      <x:c r="E22" s="39"/>
      <x:c r="F22" s="29" t="str"/>
      <x:c r="G22" s="29" t="str"/>
      <x:c r="H22" s="29" t="str"/>
      <x:c r="I22" s="29" t="str"/>
      <x:c r="J22" s="29" t="str"/>
      <x:c r="K22" s="29" t="str"/>
      <x:c r="L22" s="29" t="str"/>
      <x:c r="M22" s="29" t="str">
        <x:v>待审核</x:v>
      </x:c>
      <x:c r="N22" s="29" t="str"/>
      <x:c r="O22" s="39"/>
      <x:c r="P22" s="41"/>
      <x:c r="Q22" s="29" t="str"/>
      <x:c r="R22" s="29" t="str"/>
      <x:c r="S22" s="29" t="str"/>
      <x:c r="T22" s="37" t="str">
        <x:f>IF(I22="","未填写",IF(AND(M22="已批准",Q22&lt;&gt;"",P22&gt;=1),"可追溯","待补充"))</x:f>
        <x:v>未填写</x:v>
      </x:c>
    </x:row>
    <x:row r="23" ht="32" customHeight="1">
      <x:c r="A23" s="29" t="str"/>
      <x:c r="B23" s="31" t="str">
        <x:v>U0@v18</x:v>
      </x:c>
      <x:c r="C23" s="31" t="str">
        <x:v>U0@v17</x:v>
      </x:c>
      <x:c r="D23" s="29" t="str">
        <x:v>候选</x:v>
      </x:c>
      <x:c r="E23" s="39"/>
      <x:c r="F23" s="29" t="str"/>
      <x:c r="G23" s="29" t="str"/>
      <x:c r="H23" s="29" t="str"/>
      <x:c r="I23" s="29" t="str"/>
      <x:c r="J23" s="29" t="str"/>
      <x:c r="K23" s="29" t="str"/>
      <x:c r="L23" s="29" t="str"/>
      <x:c r="M23" s="29" t="str">
        <x:v>待审核</x:v>
      </x:c>
      <x:c r="N23" s="29" t="str"/>
      <x:c r="O23" s="39"/>
      <x:c r="P23" s="41"/>
      <x:c r="Q23" s="29" t="str"/>
      <x:c r="R23" s="29" t="str"/>
      <x:c r="S23" s="29" t="str"/>
      <x:c r="T23" s="37" t="str">
        <x:f>IF(I23="","未填写",IF(AND(M23="已批准",Q23&lt;&gt;"",P23&gt;=1),"可追溯","待补充"))</x:f>
        <x:v>未填写</x:v>
      </x:c>
    </x:row>
    <x:row r="24" ht="32" customHeight="1">
      <x:c r="A24" s="29" t="str"/>
      <x:c r="B24" s="31" t="str">
        <x:v>U0@v19</x:v>
      </x:c>
      <x:c r="C24" s="31" t="str">
        <x:v>U0@v18</x:v>
      </x:c>
      <x:c r="D24" s="29" t="str">
        <x:v>候选</x:v>
      </x:c>
      <x:c r="E24" s="39"/>
      <x:c r="F24" s="29" t="str"/>
      <x:c r="G24" s="29" t="str"/>
      <x:c r="H24" s="29" t="str"/>
      <x:c r="I24" s="29" t="str"/>
      <x:c r="J24" s="29" t="str"/>
      <x:c r="K24" s="29" t="str"/>
      <x:c r="L24" s="29" t="str"/>
      <x:c r="M24" s="29" t="str">
        <x:v>待审核</x:v>
      </x:c>
      <x:c r="N24" s="29" t="str"/>
      <x:c r="O24" s="39"/>
      <x:c r="P24" s="41"/>
      <x:c r="Q24" s="29" t="str"/>
      <x:c r="R24" s="29" t="str"/>
      <x:c r="S24" s="29" t="str"/>
      <x:c r="T24" s="37" t="str">
        <x:f>IF(I24="","未填写",IF(AND(M24="已批准",Q24&lt;&gt;"",P24&gt;=1),"可追溯","待补充"))</x:f>
        <x:v>未填写</x:v>
      </x:c>
    </x:row>
  </x:sheetData>
  <x:mergeCells>
    <x:mergeCell ref="A1:T1"/>
    <x:mergeCell ref="A2:T2"/>
  </x:mergeCells>
  <x:conditionalFormatting sqref="T5:T24">
    <x:cfRule type="containsText" dxfId="3" priority="1" operator="containsText" text="可追溯"/>
    <x:cfRule type="containsText" dxfId="4" priority="2" operator="containsText" text="可分析"/>
    <x:cfRule type="containsText" dxfId="5" priority="3" operator="containsText" text="待补充"/>
  </x:conditionalFormatting>
  <x:dataValidations count="2">
    <x:dataValidation type="list" sqref="D5:D24">
      <x:formula1>"候选,已批准,运行中,已冻结,已废弃"</x:formula1>
    </x:dataValidation>
    <x:dataValidation type="list" sqref="M5:M24">
      <x:formula1>"待审核,已批准,已拒绝"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17a5fabcf2c41f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3" hidden="0" customWidth="1"/>
    <x:col min="4" max="4" width="13" hidden="0" customWidth="1"/>
    <x:col min="5" max="5" width="18" hidden="0" customWidth="1"/>
    <x:col min="6" max="6" width="15" hidden="0" customWidth="1"/>
    <x:col min="7" max="7" width="20" hidden="0" customWidth="1"/>
    <x:col min="8" max="8" width="13" hidden="0" customWidth="1"/>
    <x:col min="9" max="9" width="15" hidden="0" customWidth="1"/>
    <x:col min="10" max="10" width="18" hidden="0" customWidth="1"/>
    <x:col min="11" max="11" width="34" hidden="0" customWidth="1"/>
    <x:col min="12" max="12" width="28" hidden="0" customWidth="1"/>
    <x:col min="13" max="13" width="28" hidden="0" customWidth="1"/>
    <x:col min="14" max="14" width="30" hidden="0" customWidth="1"/>
    <x:col min="15" max="15" width="32" hidden="0" customWidth="1"/>
    <x:col min="16" max="16" width="18" hidden="0" customWidth="1"/>
    <x:col min="17" max="17" width="16" hidden="0" customWidth="1"/>
    <x:col min="18" max="18" width="36" hidden="0" customWidth="1"/>
    <x:col min="19" max="19" width="32" hidden="0" customWidth="1"/>
    <x:col min="20" max="20" width="24" hidden="0" customWidth="1"/>
    <x:col min="21" max="21" width="14" hidden="0" customWidth="1"/>
  </x:cols>
  <x:sheetData>
    <x:row r="1" ht="34" customHeight="1">
      <x:c r="A1" s="4" t="str">
        <x:v>居民检索、计划与行动记录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</x:row>
    <x:row r="2" ht="30" customHeight="1">
      <x:c r="A2" s="8" t="str">
        <x:v>每一行是一名居民在一个版本/运行中的记录，用于确认共同意图进入长期记忆后，不同居民的排名、检索、计划与行动差异。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T2" s="8"/>
      <x:c r="U2" s="8"/>
    </x:row>
    <x:row r="4" ht="36" customHeight="1">
      <x:c r="A4" s="14" t="str">
        <x:v>实验编号</x:v>
      </x:c>
      <x:c r="B4" s="14" t="str">
        <x:v>运行 ID</x:v>
      </x:c>
      <x:c r="C4" s="14" t="str">
        <x:v>意图版本</x:v>
      </x:c>
      <x:c r="D4" s="14" t="str">
        <x:v>居民</x:v>
      </x:c>
      <x:c r="E4" s="14" t="str">
        <x:v>居民角色</x:v>
      </x:c>
      <x:c r="F4" s="14" t="str">
        <x:v>U0 投递状态</x:v>
      </x:c>
      <x:c r="G4" s="14" t="str">
        <x:v>投递记忆节点 ID</x:v>
      </x:c>
      <x:c r="H4" s="14" t="str">
        <x:v>U0 初始排名</x:v>
      </x:c>
      <x:c r="I4" s="14" t="str">
        <x:v>是否检索到 U0</x:v>
      </x:c>
      <x:c r="J4" s="14" t="str">
        <x:v>首次相关检索时间</x:v>
      </x:c>
      <x:c r="K4" s="14" t="str">
        <x:v>检索到的相关内容</x:v>
      </x:c>
      <x:c r="L4" s="14" t="str">
        <x:v>检索前计划</x:v>
      </x:c>
      <x:c r="M4" s="14" t="str">
        <x:v>检索后/新计划</x:v>
      </x:c>
      <x:c r="N4" s="14" t="str">
        <x:v>实际行动</x:v>
      </x:c>
      <x:c r="O4" s="14" t="str">
        <x:v>世界结果</x:v>
      </x:c>
      <x:c r="P4" s="14" t="str">
        <x:v>是否发生角色间影响</x:v>
      </x:c>
      <x:c r="Q4" s="14" t="str">
        <x:v>影响对象</x:v>
      </x:c>
      <x:c r="R4" s="14" t="str">
        <x:v>Gap/脆弱性证据</x:v>
      </x:c>
      <x:c r="S4" s="14" t="str">
        <x:v>证据链接</x:v>
      </x:c>
      <x:c r="T4" s="14" t="str">
        <x:v>备注</x:v>
      </x:c>
      <x:c r="U4" s="14" t="str">
        <x:v>记录完整性</x:v>
      </x:c>
    </x:row>
    <x:row r="5" ht="32" customHeight="1">
      <x:c r="A5" s="19"/>
      <x:c r="B5" s="19"/>
      <x:c r="C5" s="19"/>
      <x:c r="D5" s="19"/>
      <x:c r="E5" s="19"/>
      <x:c r="F5" s="19"/>
      <x:c r="G5" s="19"/>
      <x:c r="H5" s="42"/>
      <x:c r="I5" s="19"/>
      <x:c r="J5" s="38"/>
      <x:c r="K5" s="19"/>
      <x:c r="L5" s="19"/>
      <x:c r="M5" s="19"/>
      <x:c r="N5" s="19"/>
      <x:c r="O5" s="19"/>
      <x:c r="P5" s="19"/>
      <x:c r="Q5" s="19"/>
      <x:c r="R5" s="19"/>
      <x:c r="S5" s="19"/>
      <x:c r="T5" s="19"/>
      <x:c r="U5" s="36" t="str">
        <x:f>IF(D5="","",IF(AND(F5&lt;&gt;"",I5&lt;&gt;"",N5&lt;&gt;"",O5&lt;&gt;""),"可分析","待补充"))</x:f>
      </x:c>
    </x:row>
    <x:row r="6" ht="32" customHeight="1">
      <x:c r="A6" s="29"/>
      <x:c r="B6" s="29"/>
      <x:c r="C6" s="29"/>
      <x:c r="D6" s="29"/>
      <x:c r="E6" s="29"/>
      <x:c r="F6" s="29"/>
      <x:c r="G6" s="29"/>
      <x:c r="H6" s="43"/>
      <x:c r="I6" s="29"/>
      <x:c r="J6" s="39"/>
      <x:c r="K6" s="29"/>
      <x:c r="L6" s="29"/>
      <x:c r="M6" s="29"/>
      <x:c r="N6" s="29"/>
      <x:c r="O6" s="29"/>
      <x:c r="P6" s="29"/>
      <x:c r="Q6" s="29"/>
      <x:c r="R6" s="29"/>
      <x:c r="S6" s="29"/>
      <x:c r="T6" s="29"/>
      <x:c r="U6" s="37" t="str">
        <x:f>IF(D6="","",IF(AND(F6&lt;&gt;"",I6&lt;&gt;"",N6&lt;&gt;"",O6&lt;&gt;""),"可分析","待补充"))</x:f>
      </x:c>
    </x:row>
    <x:row r="7" ht="32" customHeight="1">
      <x:c r="A7" s="29"/>
      <x:c r="B7" s="29"/>
      <x:c r="C7" s="29"/>
      <x:c r="D7" s="29"/>
      <x:c r="E7" s="29"/>
      <x:c r="F7" s="29"/>
      <x:c r="G7" s="29"/>
      <x:c r="H7" s="43"/>
      <x:c r="I7" s="29"/>
      <x:c r="J7" s="39"/>
      <x:c r="K7" s="29"/>
      <x:c r="L7" s="29"/>
      <x:c r="M7" s="29"/>
      <x:c r="N7" s="29"/>
      <x:c r="O7" s="29"/>
      <x:c r="P7" s="29"/>
      <x:c r="Q7" s="29"/>
      <x:c r="R7" s="29"/>
      <x:c r="S7" s="29"/>
      <x:c r="T7" s="29"/>
      <x:c r="U7" s="37" t="str">
        <x:f>IF(D7="","",IF(AND(F7&lt;&gt;"",I7&lt;&gt;"",N7&lt;&gt;"",O7&lt;&gt;""),"可分析","待补充"))</x:f>
      </x:c>
    </x:row>
    <x:row r="8" ht="32" customHeight="1">
      <x:c r="A8" s="29"/>
      <x:c r="B8" s="29"/>
      <x:c r="C8" s="29"/>
      <x:c r="D8" s="29"/>
      <x:c r="E8" s="29"/>
      <x:c r="F8" s="29"/>
      <x:c r="G8" s="29"/>
      <x:c r="H8" s="43"/>
      <x:c r="I8" s="29"/>
      <x:c r="J8" s="39"/>
      <x:c r="K8" s="29"/>
      <x:c r="L8" s="29"/>
      <x:c r="M8" s="29"/>
      <x:c r="N8" s="29"/>
      <x:c r="O8" s="29"/>
      <x:c r="P8" s="29"/>
      <x:c r="Q8" s="29"/>
      <x:c r="R8" s="29"/>
      <x:c r="S8" s="29"/>
      <x:c r="T8" s="29"/>
      <x:c r="U8" s="37" t="str">
        <x:f>IF(D8="","",IF(AND(F8&lt;&gt;"",I8&lt;&gt;"",N8&lt;&gt;"",O8&lt;&gt;""),"可分析","待补充"))</x:f>
      </x:c>
    </x:row>
    <x:row r="9" ht="32" customHeight="1">
      <x:c r="A9" s="29"/>
      <x:c r="B9" s="29"/>
      <x:c r="C9" s="29"/>
      <x:c r="D9" s="29"/>
      <x:c r="E9" s="29"/>
      <x:c r="F9" s="29"/>
      <x:c r="G9" s="29"/>
      <x:c r="H9" s="43"/>
      <x:c r="I9" s="29"/>
      <x:c r="J9" s="39"/>
      <x:c r="K9" s="29"/>
      <x:c r="L9" s="29"/>
      <x:c r="M9" s="29"/>
      <x:c r="N9" s="29"/>
      <x:c r="O9" s="29"/>
      <x:c r="P9" s="29"/>
      <x:c r="Q9" s="29"/>
      <x:c r="R9" s="29"/>
      <x:c r="S9" s="29"/>
      <x:c r="T9" s="29"/>
      <x:c r="U9" s="37" t="str">
        <x:f>IF(D9="","",IF(AND(F9&lt;&gt;"",I9&lt;&gt;"",N9&lt;&gt;"",O9&lt;&gt;""),"可分析","待补充"))</x:f>
      </x:c>
    </x:row>
    <x:row r="10" ht="32" customHeight="1">
      <x:c r="A10" s="29"/>
      <x:c r="B10" s="29"/>
      <x:c r="C10" s="29"/>
      <x:c r="D10" s="29"/>
      <x:c r="E10" s="29"/>
      <x:c r="F10" s="29"/>
      <x:c r="G10" s="29"/>
      <x:c r="H10" s="43"/>
      <x:c r="I10" s="29"/>
      <x:c r="J10" s="39"/>
      <x:c r="K10" s="29"/>
      <x:c r="L10" s="29"/>
      <x:c r="M10" s="29"/>
      <x:c r="N10" s="29"/>
      <x:c r="O10" s="29"/>
      <x:c r="P10" s="29"/>
      <x:c r="Q10" s="29"/>
      <x:c r="R10" s="29"/>
      <x:c r="S10" s="29"/>
      <x:c r="T10" s="29"/>
      <x:c r="U10" s="37" t="str">
        <x:f>IF(D10="","",IF(AND(F10&lt;&gt;"",I10&lt;&gt;"",N10&lt;&gt;"",O10&lt;&gt;""),"可分析","待补充"))</x:f>
      </x:c>
    </x:row>
    <x:row r="11" ht="32" customHeight="1">
      <x:c r="A11" s="29"/>
      <x:c r="B11" s="29"/>
      <x:c r="C11" s="29"/>
      <x:c r="D11" s="29"/>
      <x:c r="E11" s="29"/>
      <x:c r="F11" s="29"/>
      <x:c r="G11" s="29"/>
      <x:c r="H11" s="43"/>
      <x:c r="I11" s="29"/>
      <x:c r="J11" s="39"/>
      <x:c r="K11" s="29"/>
      <x:c r="L11" s="29"/>
      <x:c r="M11" s="29"/>
      <x:c r="N11" s="29"/>
      <x:c r="O11" s="29"/>
      <x:c r="P11" s="29"/>
      <x:c r="Q11" s="29"/>
      <x:c r="R11" s="29"/>
      <x:c r="S11" s="29"/>
      <x:c r="T11" s="29"/>
      <x:c r="U11" s="37" t="str">
        <x:f>IF(D11="","",IF(AND(F11&lt;&gt;"",I11&lt;&gt;"",N11&lt;&gt;"",O11&lt;&gt;""),"可分析","待补充"))</x:f>
      </x:c>
    </x:row>
    <x:row r="12" ht="32" customHeight="1">
      <x:c r="A12" s="29"/>
      <x:c r="B12" s="29"/>
      <x:c r="C12" s="29"/>
      <x:c r="D12" s="29"/>
      <x:c r="E12" s="29"/>
      <x:c r="F12" s="29"/>
      <x:c r="G12" s="29"/>
      <x:c r="H12" s="43"/>
      <x:c r="I12" s="29"/>
      <x:c r="J12" s="39"/>
      <x:c r="K12" s="29"/>
      <x:c r="L12" s="29"/>
      <x:c r="M12" s="29"/>
      <x:c r="N12" s="29"/>
      <x:c r="O12" s="29"/>
      <x:c r="P12" s="29"/>
      <x:c r="Q12" s="29"/>
      <x:c r="R12" s="29"/>
      <x:c r="S12" s="29"/>
      <x:c r="T12" s="29"/>
      <x:c r="U12" s="37" t="str">
        <x:f>IF(D12="","",IF(AND(F12&lt;&gt;"",I12&lt;&gt;"",N12&lt;&gt;"",O12&lt;&gt;""),"可分析","待补充"))</x:f>
      </x:c>
    </x:row>
    <x:row r="13" ht="32" customHeight="1">
      <x:c r="A13" s="29"/>
      <x:c r="B13" s="29"/>
      <x:c r="C13" s="29"/>
      <x:c r="D13" s="29"/>
      <x:c r="E13" s="29"/>
      <x:c r="F13" s="29"/>
      <x:c r="G13" s="29"/>
      <x:c r="H13" s="43"/>
      <x:c r="I13" s="29"/>
      <x:c r="J13" s="39"/>
      <x:c r="K13" s="29"/>
      <x:c r="L13" s="29"/>
      <x:c r="M13" s="29"/>
      <x:c r="N13" s="29"/>
      <x:c r="O13" s="29"/>
      <x:c r="P13" s="29"/>
      <x:c r="Q13" s="29"/>
      <x:c r="R13" s="29"/>
      <x:c r="S13" s="29"/>
      <x:c r="T13" s="29"/>
      <x:c r="U13" s="37" t="str">
        <x:f>IF(D13="","",IF(AND(F13&lt;&gt;"",I13&lt;&gt;"",N13&lt;&gt;"",O13&lt;&gt;""),"可分析","待补充"))</x:f>
      </x:c>
    </x:row>
    <x:row r="14" ht="32" customHeight="1">
      <x:c r="A14" s="29"/>
      <x:c r="B14" s="29"/>
      <x:c r="C14" s="29"/>
      <x:c r="D14" s="29"/>
      <x:c r="E14" s="29"/>
      <x:c r="F14" s="29"/>
      <x:c r="G14" s="29"/>
      <x:c r="H14" s="43"/>
      <x:c r="I14" s="29"/>
      <x:c r="J14" s="39"/>
      <x:c r="K14" s="29"/>
      <x:c r="L14" s="29"/>
      <x:c r="M14" s="29"/>
      <x:c r="N14" s="29"/>
      <x:c r="O14" s="29"/>
      <x:c r="P14" s="29"/>
      <x:c r="Q14" s="29"/>
      <x:c r="R14" s="29"/>
      <x:c r="S14" s="29"/>
      <x:c r="T14" s="29"/>
      <x:c r="U14" s="37" t="str">
        <x:f>IF(D14="","",IF(AND(F14&lt;&gt;"",I14&lt;&gt;"",N14&lt;&gt;"",O14&lt;&gt;""),"可分析","待补充"))</x:f>
      </x:c>
    </x:row>
    <x:row r="15" ht="32" customHeight="1">
      <x:c r="A15" s="29"/>
      <x:c r="B15" s="29"/>
      <x:c r="C15" s="29"/>
      <x:c r="D15" s="29"/>
      <x:c r="E15" s="29"/>
      <x:c r="F15" s="29"/>
      <x:c r="G15" s="29"/>
      <x:c r="H15" s="43"/>
      <x:c r="I15" s="29"/>
      <x:c r="J15" s="39"/>
      <x:c r="K15" s="29"/>
      <x:c r="L15" s="29"/>
      <x:c r="M15" s="29"/>
      <x:c r="N15" s="29"/>
      <x:c r="O15" s="29"/>
      <x:c r="P15" s="29"/>
      <x:c r="Q15" s="29"/>
      <x:c r="R15" s="29"/>
      <x:c r="S15" s="29"/>
      <x:c r="T15" s="29"/>
      <x:c r="U15" s="37" t="str">
        <x:f>IF(D15="","",IF(AND(F15&lt;&gt;"",I15&lt;&gt;"",N15&lt;&gt;"",O15&lt;&gt;""),"可分析","待补充"))</x:f>
      </x:c>
    </x:row>
    <x:row r="16" ht="32" customHeight="1">
      <x:c r="A16" s="29"/>
      <x:c r="B16" s="29"/>
      <x:c r="C16" s="29"/>
      <x:c r="D16" s="29"/>
      <x:c r="E16" s="29"/>
      <x:c r="F16" s="29"/>
      <x:c r="G16" s="29"/>
      <x:c r="H16" s="43"/>
      <x:c r="I16" s="29"/>
      <x:c r="J16" s="39"/>
      <x:c r="K16" s="29"/>
      <x:c r="L16" s="29"/>
      <x:c r="M16" s="29"/>
      <x:c r="N16" s="29"/>
      <x:c r="O16" s="29"/>
      <x:c r="P16" s="29"/>
      <x:c r="Q16" s="29"/>
      <x:c r="R16" s="29"/>
      <x:c r="S16" s="29"/>
      <x:c r="T16" s="29"/>
      <x:c r="U16" s="37" t="str">
        <x:f>IF(D16="","",IF(AND(F16&lt;&gt;"",I16&lt;&gt;"",N16&lt;&gt;"",O16&lt;&gt;""),"可分析","待补充"))</x:f>
      </x:c>
    </x:row>
    <x:row r="17" ht="32" customHeight="1">
      <x:c r="A17" s="29"/>
      <x:c r="B17" s="29"/>
      <x:c r="C17" s="29"/>
      <x:c r="D17" s="29"/>
      <x:c r="E17" s="29"/>
      <x:c r="F17" s="29"/>
      <x:c r="G17" s="29"/>
      <x:c r="H17" s="43"/>
      <x:c r="I17" s="29"/>
      <x:c r="J17" s="39"/>
      <x:c r="K17" s="29"/>
      <x:c r="L17" s="29"/>
      <x:c r="M17" s="29"/>
      <x:c r="N17" s="29"/>
      <x:c r="O17" s="29"/>
      <x:c r="P17" s="29"/>
      <x:c r="Q17" s="29"/>
      <x:c r="R17" s="29"/>
      <x:c r="S17" s="29"/>
      <x:c r="T17" s="29"/>
      <x:c r="U17" s="37" t="str">
        <x:f>IF(D17="","",IF(AND(F17&lt;&gt;"",I17&lt;&gt;"",N17&lt;&gt;"",O17&lt;&gt;""),"可分析","待补充"))</x:f>
      </x:c>
    </x:row>
    <x:row r="18" ht="32" customHeight="1">
      <x:c r="A18" s="29"/>
      <x:c r="B18" s="29"/>
      <x:c r="C18" s="29"/>
      <x:c r="D18" s="29"/>
      <x:c r="E18" s="29"/>
      <x:c r="F18" s="29"/>
      <x:c r="G18" s="29"/>
      <x:c r="H18" s="43"/>
      <x:c r="I18" s="29"/>
      <x:c r="J18" s="39"/>
      <x:c r="K18" s="29"/>
      <x:c r="L18" s="29"/>
      <x:c r="M18" s="29"/>
      <x:c r="N18" s="29"/>
      <x:c r="O18" s="29"/>
      <x:c r="P18" s="29"/>
      <x:c r="Q18" s="29"/>
      <x:c r="R18" s="29"/>
      <x:c r="S18" s="29"/>
      <x:c r="T18" s="29"/>
      <x:c r="U18" s="37" t="str">
        <x:f>IF(D18="","",IF(AND(F18&lt;&gt;"",I18&lt;&gt;"",N18&lt;&gt;"",O18&lt;&gt;""),"可分析","待补充"))</x:f>
      </x:c>
    </x:row>
    <x:row r="19" ht="32" customHeight="1">
      <x:c r="A19" s="29"/>
      <x:c r="B19" s="29"/>
      <x:c r="C19" s="29"/>
      <x:c r="D19" s="29"/>
      <x:c r="E19" s="29"/>
      <x:c r="F19" s="29"/>
      <x:c r="G19" s="29"/>
      <x:c r="H19" s="43"/>
      <x:c r="I19" s="29"/>
      <x:c r="J19" s="39"/>
      <x:c r="K19" s="29"/>
      <x:c r="L19" s="29"/>
      <x:c r="M19" s="29"/>
      <x:c r="N19" s="29"/>
      <x:c r="O19" s="29"/>
      <x:c r="P19" s="29"/>
      <x:c r="Q19" s="29"/>
      <x:c r="R19" s="29"/>
      <x:c r="S19" s="29"/>
      <x:c r="T19" s="29"/>
      <x:c r="U19" s="37" t="str">
        <x:f>IF(D19="","",IF(AND(F19&lt;&gt;"",I19&lt;&gt;"",N19&lt;&gt;"",O19&lt;&gt;""),"可分析","待补充"))</x:f>
      </x:c>
    </x:row>
    <x:row r="20" ht="32" customHeight="1">
      <x:c r="A20" s="29"/>
      <x:c r="B20" s="29"/>
      <x:c r="C20" s="29"/>
      <x:c r="D20" s="29"/>
      <x:c r="E20" s="29"/>
      <x:c r="F20" s="29"/>
      <x:c r="G20" s="29"/>
      <x:c r="H20" s="43"/>
      <x:c r="I20" s="29"/>
      <x:c r="J20" s="39"/>
      <x:c r="K20" s="29"/>
      <x:c r="L20" s="29"/>
      <x:c r="M20" s="29"/>
      <x:c r="N20" s="29"/>
      <x:c r="O20" s="29"/>
      <x:c r="P20" s="29"/>
      <x:c r="Q20" s="29"/>
      <x:c r="R20" s="29"/>
      <x:c r="S20" s="29"/>
      <x:c r="T20" s="29"/>
      <x:c r="U20" s="37" t="str">
        <x:f>IF(D20="","",IF(AND(F20&lt;&gt;"",I20&lt;&gt;"",N20&lt;&gt;"",O20&lt;&gt;""),"可分析","待补充"))</x:f>
      </x:c>
    </x:row>
    <x:row r="21" ht="32" customHeight="1">
      <x:c r="A21" s="29"/>
      <x:c r="B21" s="29"/>
      <x:c r="C21" s="29"/>
      <x:c r="D21" s="29"/>
      <x:c r="E21" s="29"/>
      <x:c r="F21" s="29"/>
      <x:c r="G21" s="29"/>
      <x:c r="H21" s="43"/>
      <x:c r="I21" s="29"/>
      <x:c r="J21" s="39"/>
      <x:c r="K21" s="29"/>
      <x:c r="L21" s="29"/>
      <x:c r="M21" s="29"/>
      <x:c r="N21" s="29"/>
      <x:c r="O21" s="29"/>
      <x:c r="P21" s="29"/>
      <x:c r="Q21" s="29"/>
      <x:c r="R21" s="29"/>
      <x:c r="S21" s="29"/>
      <x:c r="T21" s="29"/>
      <x:c r="U21" s="37" t="str">
        <x:f>IF(D21="","",IF(AND(F21&lt;&gt;"",I21&lt;&gt;"",N21&lt;&gt;"",O21&lt;&gt;""),"可分析","待补充"))</x:f>
      </x:c>
    </x:row>
    <x:row r="22" ht="32" customHeight="1">
      <x:c r="A22" s="29"/>
      <x:c r="B22" s="29"/>
      <x:c r="C22" s="29"/>
      <x:c r="D22" s="29"/>
      <x:c r="E22" s="29"/>
      <x:c r="F22" s="29"/>
      <x:c r="G22" s="29"/>
      <x:c r="H22" s="43"/>
      <x:c r="I22" s="29"/>
      <x:c r="J22" s="39"/>
      <x:c r="K22" s="29"/>
      <x:c r="L22" s="29"/>
      <x:c r="M22" s="29"/>
      <x:c r="N22" s="29"/>
      <x:c r="O22" s="29"/>
      <x:c r="P22" s="29"/>
      <x:c r="Q22" s="29"/>
      <x:c r="R22" s="29"/>
      <x:c r="S22" s="29"/>
      <x:c r="T22" s="29"/>
      <x:c r="U22" s="37" t="str">
        <x:f>IF(D22="","",IF(AND(F22&lt;&gt;"",I22&lt;&gt;"",N22&lt;&gt;"",O22&lt;&gt;""),"可分析","待补充"))</x:f>
      </x:c>
    </x:row>
    <x:row r="23" ht="32" customHeight="1">
      <x:c r="A23" s="29"/>
      <x:c r="B23" s="29"/>
      <x:c r="C23" s="29"/>
      <x:c r="D23" s="29"/>
      <x:c r="E23" s="29"/>
      <x:c r="F23" s="29"/>
      <x:c r="G23" s="29"/>
      <x:c r="H23" s="43"/>
      <x:c r="I23" s="29"/>
      <x:c r="J23" s="39"/>
      <x:c r="K23" s="29"/>
      <x:c r="L23" s="29"/>
      <x:c r="M23" s="29"/>
      <x:c r="N23" s="29"/>
      <x:c r="O23" s="29"/>
      <x:c r="P23" s="29"/>
      <x:c r="Q23" s="29"/>
      <x:c r="R23" s="29"/>
      <x:c r="S23" s="29"/>
      <x:c r="T23" s="29"/>
      <x:c r="U23" s="37" t="str">
        <x:f>IF(D23="","",IF(AND(F23&lt;&gt;"",I23&lt;&gt;"",N23&lt;&gt;"",O23&lt;&gt;""),"可分析","待补充"))</x:f>
      </x:c>
    </x:row>
    <x:row r="24" ht="32" customHeight="1">
      <x:c r="A24" s="29"/>
      <x:c r="B24" s="29"/>
      <x:c r="C24" s="29"/>
      <x:c r="D24" s="29"/>
      <x:c r="E24" s="29"/>
      <x:c r="F24" s="29"/>
      <x:c r="G24" s="29"/>
      <x:c r="H24" s="43"/>
      <x:c r="I24" s="29"/>
      <x:c r="J24" s="39"/>
      <x:c r="K24" s="29"/>
      <x:c r="L24" s="29"/>
      <x:c r="M24" s="29"/>
      <x:c r="N24" s="29"/>
      <x:c r="O24" s="29"/>
      <x:c r="P24" s="29"/>
      <x:c r="Q24" s="29"/>
      <x:c r="R24" s="29"/>
      <x:c r="S24" s="29"/>
      <x:c r="T24" s="29"/>
      <x:c r="U24" s="37" t="str">
        <x:f>IF(D24="","",IF(AND(F24&lt;&gt;"",I24&lt;&gt;"",N24&lt;&gt;"",O24&lt;&gt;""),"可分析","待补充"))</x:f>
      </x:c>
    </x:row>
    <x:row r="25" ht="32" customHeight="1">
      <x:c r="A25" s="29"/>
      <x:c r="B25" s="29"/>
      <x:c r="C25" s="29"/>
      <x:c r="D25" s="29"/>
      <x:c r="E25" s="29"/>
      <x:c r="F25" s="29"/>
      <x:c r="G25" s="29"/>
      <x:c r="H25" s="43"/>
      <x:c r="I25" s="29"/>
      <x:c r="J25" s="39"/>
      <x:c r="K25" s="29"/>
      <x:c r="L25" s="29"/>
      <x:c r="M25" s="29"/>
      <x:c r="N25" s="29"/>
      <x:c r="O25" s="29"/>
      <x:c r="P25" s="29"/>
      <x:c r="Q25" s="29"/>
      <x:c r="R25" s="29"/>
      <x:c r="S25" s="29"/>
      <x:c r="T25" s="29"/>
      <x:c r="U25" s="37" t="str">
        <x:f>IF(D25="","",IF(AND(F25&lt;&gt;"",I25&lt;&gt;"",N25&lt;&gt;"",O25&lt;&gt;""),"可分析","待补充"))</x:f>
      </x:c>
    </x:row>
    <x:row r="26" ht="32" customHeight="1">
      <x:c r="A26" s="29"/>
      <x:c r="B26" s="29"/>
      <x:c r="C26" s="29"/>
      <x:c r="D26" s="29"/>
      <x:c r="E26" s="29"/>
      <x:c r="F26" s="29"/>
      <x:c r="G26" s="29"/>
      <x:c r="H26" s="43"/>
      <x:c r="I26" s="29"/>
      <x:c r="J26" s="39"/>
      <x:c r="K26" s="29"/>
      <x:c r="L26" s="29"/>
      <x:c r="M26" s="29"/>
      <x:c r="N26" s="29"/>
      <x:c r="O26" s="29"/>
      <x:c r="P26" s="29"/>
      <x:c r="Q26" s="29"/>
      <x:c r="R26" s="29"/>
      <x:c r="S26" s="29"/>
      <x:c r="T26" s="29"/>
      <x:c r="U26" s="37" t="str">
        <x:f>IF(D26="","",IF(AND(F26&lt;&gt;"",I26&lt;&gt;"",N26&lt;&gt;"",O26&lt;&gt;""),"可分析","待补充"))</x:f>
      </x:c>
    </x:row>
    <x:row r="27" ht="32" customHeight="1">
      <x:c r="A27" s="29"/>
      <x:c r="B27" s="29"/>
      <x:c r="C27" s="29"/>
      <x:c r="D27" s="29"/>
      <x:c r="E27" s="29"/>
      <x:c r="F27" s="29"/>
      <x:c r="G27" s="29"/>
      <x:c r="H27" s="43"/>
      <x:c r="I27" s="29"/>
      <x:c r="J27" s="39"/>
      <x:c r="K27" s="29"/>
      <x:c r="L27" s="29"/>
      <x:c r="M27" s="29"/>
      <x:c r="N27" s="29"/>
      <x:c r="O27" s="29"/>
      <x:c r="P27" s="29"/>
      <x:c r="Q27" s="29"/>
      <x:c r="R27" s="29"/>
      <x:c r="S27" s="29"/>
      <x:c r="T27" s="29"/>
      <x:c r="U27" s="37" t="str">
        <x:f>IF(D27="","",IF(AND(F27&lt;&gt;"",I27&lt;&gt;"",N27&lt;&gt;"",O27&lt;&gt;""),"可分析","待补充"))</x:f>
      </x:c>
    </x:row>
    <x:row r="28" ht="32" customHeight="1">
      <x:c r="A28" s="29"/>
      <x:c r="B28" s="29"/>
      <x:c r="C28" s="29"/>
      <x:c r="D28" s="29"/>
      <x:c r="E28" s="29"/>
      <x:c r="F28" s="29"/>
      <x:c r="G28" s="29"/>
      <x:c r="H28" s="43"/>
      <x:c r="I28" s="29"/>
      <x:c r="J28" s="39"/>
      <x:c r="K28" s="29"/>
      <x:c r="L28" s="29"/>
      <x:c r="M28" s="29"/>
      <x:c r="N28" s="29"/>
      <x:c r="O28" s="29"/>
      <x:c r="P28" s="29"/>
      <x:c r="Q28" s="29"/>
      <x:c r="R28" s="29"/>
      <x:c r="S28" s="29"/>
      <x:c r="T28" s="29"/>
      <x:c r="U28" s="37" t="str">
        <x:f>IF(D28="","",IF(AND(F28&lt;&gt;"",I28&lt;&gt;"",N28&lt;&gt;"",O28&lt;&gt;""),"可分析","待补充"))</x:f>
      </x:c>
    </x:row>
    <x:row r="29" ht="32" customHeight="1">
      <x:c r="A29" s="29"/>
      <x:c r="B29" s="29"/>
      <x:c r="C29" s="29"/>
      <x:c r="D29" s="29"/>
      <x:c r="E29" s="29"/>
      <x:c r="F29" s="29"/>
      <x:c r="G29" s="29"/>
      <x:c r="H29" s="43"/>
      <x:c r="I29" s="29"/>
      <x:c r="J29" s="39"/>
      <x:c r="K29" s="29"/>
      <x:c r="L29" s="29"/>
      <x:c r="M29" s="29"/>
      <x:c r="N29" s="29"/>
      <x:c r="O29" s="29"/>
      <x:c r="P29" s="29"/>
      <x:c r="Q29" s="29"/>
      <x:c r="R29" s="29"/>
      <x:c r="S29" s="29"/>
      <x:c r="T29" s="29"/>
      <x:c r="U29" s="37" t="str">
        <x:f>IF(D29="","",IF(AND(F29&lt;&gt;"",I29&lt;&gt;"",N29&lt;&gt;"",O29&lt;&gt;""),"可分析","待补充"))</x:f>
      </x:c>
    </x:row>
    <x:row r="30" ht="32" customHeight="1">
      <x:c r="A30" s="29"/>
      <x:c r="B30" s="29"/>
      <x:c r="C30" s="29"/>
      <x:c r="D30" s="29"/>
      <x:c r="E30" s="29"/>
      <x:c r="F30" s="29"/>
      <x:c r="G30" s="29"/>
      <x:c r="H30" s="43"/>
      <x:c r="I30" s="29"/>
      <x:c r="J30" s="39"/>
      <x:c r="K30" s="29"/>
      <x:c r="L30" s="29"/>
      <x:c r="M30" s="29"/>
      <x:c r="N30" s="29"/>
      <x:c r="O30" s="29"/>
      <x:c r="P30" s="29"/>
      <x:c r="Q30" s="29"/>
      <x:c r="R30" s="29"/>
      <x:c r="S30" s="29"/>
      <x:c r="T30" s="29"/>
      <x:c r="U30" s="37" t="str">
        <x:f>IF(D30="","",IF(AND(F30&lt;&gt;"",I30&lt;&gt;"",N30&lt;&gt;"",O30&lt;&gt;""),"可分析","待补充"))</x:f>
      </x:c>
    </x:row>
    <x:row r="31" ht="32" customHeight="1">
      <x:c r="A31" s="29"/>
      <x:c r="B31" s="29"/>
      <x:c r="C31" s="29"/>
      <x:c r="D31" s="29"/>
      <x:c r="E31" s="29"/>
      <x:c r="F31" s="29"/>
      <x:c r="G31" s="29"/>
      <x:c r="H31" s="43"/>
      <x:c r="I31" s="29"/>
      <x:c r="J31" s="39"/>
      <x:c r="K31" s="29"/>
      <x:c r="L31" s="29"/>
      <x:c r="M31" s="29"/>
      <x:c r="N31" s="29"/>
      <x:c r="O31" s="29"/>
      <x:c r="P31" s="29"/>
      <x:c r="Q31" s="29"/>
      <x:c r="R31" s="29"/>
      <x:c r="S31" s="29"/>
      <x:c r="T31" s="29"/>
      <x:c r="U31" s="37" t="str">
        <x:f>IF(D31="","",IF(AND(F31&lt;&gt;"",I31&lt;&gt;"",N31&lt;&gt;"",O31&lt;&gt;""),"可分析","待补充"))</x:f>
      </x:c>
    </x:row>
    <x:row r="32" ht="32" customHeight="1">
      <x:c r="A32" s="29"/>
      <x:c r="B32" s="29"/>
      <x:c r="C32" s="29"/>
      <x:c r="D32" s="29"/>
      <x:c r="E32" s="29"/>
      <x:c r="F32" s="29"/>
      <x:c r="G32" s="29"/>
      <x:c r="H32" s="43"/>
      <x:c r="I32" s="29"/>
      <x:c r="J32" s="39"/>
      <x:c r="K32" s="29"/>
      <x:c r="L32" s="29"/>
      <x:c r="M32" s="29"/>
      <x:c r="N32" s="29"/>
      <x:c r="O32" s="29"/>
      <x:c r="P32" s="29"/>
      <x:c r="Q32" s="29"/>
      <x:c r="R32" s="29"/>
      <x:c r="S32" s="29"/>
      <x:c r="T32" s="29"/>
      <x:c r="U32" s="37" t="str">
        <x:f>IF(D32="","",IF(AND(F32&lt;&gt;"",I32&lt;&gt;"",N32&lt;&gt;"",O32&lt;&gt;""),"可分析","待补充"))</x:f>
      </x:c>
    </x:row>
    <x:row r="33" ht="32" customHeight="1">
      <x:c r="A33" s="29"/>
      <x:c r="B33" s="29"/>
      <x:c r="C33" s="29"/>
      <x:c r="D33" s="29"/>
      <x:c r="E33" s="29"/>
      <x:c r="F33" s="29"/>
      <x:c r="G33" s="29"/>
      <x:c r="H33" s="43"/>
      <x:c r="I33" s="29"/>
      <x:c r="J33" s="39"/>
      <x:c r="K33" s="29"/>
      <x:c r="L33" s="29"/>
      <x:c r="M33" s="29"/>
      <x:c r="N33" s="29"/>
      <x:c r="O33" s="29"/>
      <x:c r="P33" s="29"/>
      <x:c r="Q33" s="29"/>
      <x:c r="R33" s="29"/>
      <x:c r="S33" s="29"/>
      <x:c r="T33" s="29"/>
      <x:c r="U33" s="37" t="str">
        <x:f>IF(D33="","",IF(AND(F33&lt;&gt;"",I33&lt;&gt;"",N33&lt;&gt;"",O33&lt;&gt;""),"可分析","待补充"))</x:f>
      </x:c>
    </x:row>
    <x:row r="34" ht="32" customHeight="1">
      <x:c r="A34" s="29"/>
      <x:c r="B34" s="29"/>
      <x:c r="C34" s="29"/>
      <x:c r="D34" s="29"/>
      <x:c r="E34" s="29"/>
      <x:c r="F34" s="29"/>
      <x:c r="G34" s="29"/>
      <x:c r="H34" s="43"/>
      <x:c r="I34" s="29"/>
      <x:c r="J34" s="39"/>
      <x:c r="K34" s="29"/>
      <x:c r="L34" s="29"/>
      <x:c r="M34" s="29"/>
      <x:c r="N34" s="29"/>
      <x:c r="O34" s="29"/>
      <x:c r="P34" s="29"/>
      <x:c r="Q34" s="29"/>
      <x:c r="R34" s="29"/>
      <x:c r="S34" s="29"/>
      <x:c r="T34" s="29"/>
      <x:c r="U34" s="37" t="str">
        <x:f>IF(D34="","",IF(AND(F34&lt;&gt;"",I34&lt;&gt;"",N34&lt;&gt;"",O34&lt;&gt;""),"可分析","待补充"))</x:f>
      </x:c>
    </x:row>
    <x:row r="35" ht="32" customHeight="1">
      <x:c r="A35" s="29"/>
      <x:c r="B35" s="29"/>
      <x:c r="C35" s="29"/>
      <x:c r="D35" s="29"/>
      <x:c r="E35" s="29"/>
      <x:c r="F35" s="29"/>
      <x:c r="G35" s="29"/>
      <x:c r="H35" s="43"/>
      <x:c r="I35" s="29"/>
      <x:c r="J35" s="39"/>
      <x:c r="K35" s="29"/>
      <x:c r="L35" s="29"/>
      <x:c r="M35" s="29"/>
      <x:c r="N35" s="29"/>
      <x:c r="O35" s="29"/>
      <x:c r="P35" s="29"/>
      <x:c r="Q35" s="29"/>
      <x:c r="R35" s="29"/>
      <x:c r="S35" s="29"/>
      <x:c r="T35" s="29"/>
      <x:c r="U35" s="37" t="str">
        <x:f>IF(D35="","",IF(AND(F35&lt;&gt;"",I35&lt;&gt;"",N35&lt;&gt;"",O35&lt;&gt;""),"可分析","待补充"))</x:f>
      </x:c>
    </x:row>
    <x:row r="36" ht="32" customHeight="1">
      <x:c r="A36" s="29"/>
      <x:c r="B36" s="29"/>
      <x:c r="C36" s="29"/>
      <x:c r="D36" s="29"/>
      <x:c r="E36" s="29"/>
      <x:c r="F36" s="29"/>
      <x:c r="G36" s="29"/>
      <x:c r="H36" s="43"/>
      <x:c r="I36" s="29"/>
      <x:c r="J36" s="39"/>
      <x:c r="K36" s="29"/>
      <x:c r="L36" s="29"/>
      <x:c r="M36" s="29"/>
      <x:c r="N36" s="29"/>
      <x:c r="O36" s="29"/>
      <x:c r="P36" s="29"/>
      <x:c r="Q36" s="29"/>
      <x:c r="R36" s="29"/>
      <x:c r="S36" s="29"/>
      <x:c r="T36" s="29"/>
      <x:c r="U36" s="37" t="str">
        <x:f>IF(D36="","",IF(AND(F36&lt;&gt;"",I36&lt;&gt;"",N36&lt;&gt;"",O36&lt;&gt;""),"可分析","待补充"))</x:f>
      </x:c>
    </x:row>
    <x:row r="37" ht="32" customHeight="1">
      <x:c r="A37" s="29"/>
      <x:c r="B37" s="29"/>
      <x:c r="C37" s="29"/>
      <x:c r="D37" s="29"/>
      <x:c r="E37" s="29"/>
      <x:c r="F37" s="29"/>
      <x:c r="G37" s="29"/>
      <x:c r="H37" s="43"/>
      <x:c r="I37" s="29"/>
      <x:c r="J37" s="39"/>
      <x:c r="K37" s="29"/>
      <x:c r="L37" s="29"/>
      <x:c r="M37" s="29"/>
      <x:c r="N37" s="29"/>
      <x:c r="O37" s="29"/>
      <x:c r="P37" s="29"/>
      <x:c r="Q37" s="29"/>
      <x:c r="R37" s="29"/>
      <x:c r="S37" s="29"/>
      <x:c r="T37" s="29"/>
      <x:c r="U37" s="37" t="str">
        <x:f>IF(D37="","",IF(AND(F37&lt;&gt;"",I37&lt;&gt;"",N37&lt;&gt;"",O37&lt;&gt;""),"可分析","待补充"))</x:f>
      </x:c>
    </x:row>
    <x:row r="38" ht="32" customHeight="1">
      <x:c r="A38" s="29"/>
      <x:c r="B38" s="29"/>
      <x:c r="C38" s="29"/>
      <x:c r="D38" s="29"/>
      <x:c r="E38" s="29"/>
      <x:c r="F38" s="29"/>
      <x:c r="G38" s="29"/>
      <x:c r="H38" s="43"/>
      <x:c r="I38" s="29"/>
      <x:c r="J38" s="39"/>
      <x:c r="K38" s="29"/>
      <x:c r="L38" s="29"/>
      <x:c r="M38" s="29"/>
      <x:c r="N38" s="29"/>
      <x:c r="O38" s="29"/>
      <x:c r="P38" s="29"/>
      <x:c r="Q38" s="29"/>
      <x:c r="R38" s="29"/>
      <x:c r="S38" s="29"/>
      <x:c r="T38" s="29"/>
      <x:c r="U38" s="37" t="str">
        <x:f>IF(D38="","",IF(AND(F38&lt;&gt;"",I38&lt;&gt;"",N38&lt;&gt;"",O38&lt;&gt;""),"可分析","待补充"))</x:f>
      </x:c>
    </x:row>
    <x:row r="39" ht="32" customHeight="1">
      <x:c r="A39" s="29"/>
      <x:c r="B39" s="29"/>
      <x:c r="C39" s="29"/>
      <x:c r="D39" s="29"/>
      <x:c r="E39" s="29"/>
      <x:c r="F39" s="29"/>
      <x:c r="G39" s="29"/>
      <x:c r="H39" s="43"/>
      <x:c r="I39" s="29"/>
      <x:c r="J39" s="39"/>
      <x:c r="K39" s="29"/>
      <x:c r="L39" s="29"/>
      <x:c r="M39" s="29"/>
      <x:c r="N39" s="29"/>
      <x:c r="O39" s="29"/>
      <x:c r="P39" s="29"/>
      <x:c r="Q39" s="29"/>
      <x:c r="R39" s="29"/>
      <x:c r="S39" s="29"/>
      <x:c r="T39" s="29"/>
      <x:c r="U39" s="37" t="str">
        <x:f>IF(D39="","",IF(AND(F39&lt;&gt;"",I39&lt;&gt;"",N39&lt;&gt;"",O39&lt;&gt;""),"可分析","待补充"))</x:f>
      </x:c>
    </x:row>
    <x:row r="40" ht="32" customHeight="1">
      <x:c r="A40" s="29"/>
      <x:c r="B40" s="29"/>
      <x:c r="C40" s="29"/>
      <x:c r="D40" s="29"/>
      <x:c r="E40" s="29"/>
      <x:c r="F40" s="29"/>
      <x:c r="G40" s="29"/>
      <x:c r="H40" s="43"/>
      <x:c r="I40" s="29"/>
      <x:c r="J40" s="39"/>
      <x:c r="K40" s="29"/>
      <x:c r="L40" s="29"/>
      <x:c r="M40" s="29"/>
      <x:c r="N40" s="29"/>
      <x:c r="O40" s="29"/>
      <x:c r="P40" s="29"/>
      <x:c r="Q40" s="29"/>
      <x:c r="R40" s="29"/>
      <x:c r="S40" s="29"/>
      <x:c r="T40" s="29"/>
      <x:c r="U40" s="37" t="str">
        <x:f>IF(D40="","",IF(AND(F40&lt;&gt;"",I40&lt;&gt;"",N40&lt;&gt;"",O40&lt;&gt;""),"可分析","待补充"))</x:f>
      </x:c>
    </x:row>
    <x:row r="41" ht="32" customHeight="1">
      <x:c r="A41" s="29"/>
      <x:c r="B41" s="29"/>
      <x:c r="C41" s="29"/>
      <x:c r="D41" s="29"/>
      <x:c r="E41" s="29"/>
      <x:c r="F41" s="29"/>
      <x:c r="G41" s="29"/>
      <x:c r="H41" s="43"/>
      <x:c r="I41" s="29"/>
      <x:c r="J41" s="39"/>
      <x:c r="K41" s="29"/>
      <x:c r="L41" s="29"/>
      <x:c r="M41" s="29"/>
      <x:c r="N41" s="29"/>
      <x:c r="O41" s="29"/>
      <x:c r="P41" s="29"/>
      <x:c r="Q41" s="29"/>
      <x:c r="R41" s="29"/>
      <x:c r="S41" s="29"/>
      <x:c r="T41" s="29"/>
      <x:c r="U41" s="37" t="str">
        <x:f>IF(D41="","",IF(AND(F41&lt;&gt;"",I41&lt;&gt;"",N41&lt;&gt;"",O41&lt;&gt;""),"可分析","待补充"))</x:f>
      </x:c>
    </x:row>
    <x:row r="42" ht="32" customHeight="1">
      <x:c r="A42" s="29"/>
      <x:c r="B42" s="29"/>
      <x:c r="C42" s="29"/>
      <x:c r="D42" s="29"/>
      <x:c r="E42" s="29"/>
      <x:c r="F42" s="29"/>
      <x:c r="G42" s="29"/>
      <x:c r="H42" s="43"/>
      <x:c r="I42" s="29"/>
      <x:c r="J42" s="39"/>
      <x:c r="K42" s="29"/>
      <x:c r="L42" s="29"/>
      <x:c r="M42" s="29"/>
      <x:c r="N42" s="29"/>
      <x:c r="O42" s="29"/>
      <x:c r="P42" s="29"/>
      <x:c r="Q42" s="29"/>
      <x:c r="R42" s="29"/>
      <x:c r="S42" s="29"/>
      <x:c r="T42" s="29"/>
      <x:c r="U42" s="37" t="str">
        <x:f>IF(D42="","",IF(AND(F42&lt;&gt;"",I42&lt;&gt;"",N42&lt;&gt;"",O42&lt;&gt;""),"可分析","待补充"))</x:f>
      </x:c>
    </x:row>
    <x:row r="43" ht="32" customHeight="1">
      <x:c r="A43" s="29"/>
      <x:c r="B43" s="29"/>
      <x:c r="C43" s="29"/>
      <x:c r="D43" s="29"/>
      <x:c r="E43" s="29"/>
      <x:c r="F43" s="29"/>
      <x:c r="G43" s="29"/>
      <x:c r="H43" s="43"/>
      <x:c r="I43" s="29"/>
      <x:c r="J43" s="39"/>
      <x:c r="K43" s="29"/>
      <x:c r="L43" s="29"/>
      <x:c r="M43" s="29"/>
      <x:c r="N43" s="29"/>
      <x:c r="O43" s="29"/>
      <x:c r="P43" s="29"/>
      <x:c r="Q43" s="29"/>
      <x:c r="R43" s="29"/>
      <x:c r="S43" s="29"/>
      <x:c r="T43" s="29"/>
      <x:c r="U43" s="37" t="str">
        <x:f>IF(D43="","",IF(AND(F43&lt;&gt;"",I43&lt;&gt;"",N43&lt;&gt;"",O43&lt;&gt;""),"可分析","待补充"))</x:f>
      </x:c>
    </x:row>
    <x:row r="44" ht="32" customHeight="1">
      <x:c r="A44" s="29"/>
      <x:c r="B44" s="29"/>
      <x:c r="C44" s="29"/>
      <x:c r="D44" s="29"/>
      <x:c r="E44" s="29"/>
      <x:c r="F44" s="29"/>
      <x:c r="G44" s="29"/>
      <x:c r="H44" s="43"/>
      <x:c r="I44" s="29"/>
      <x:c r="J44" s="39"/>
      <x:c r="K44" s="29"/>
      <x:c r="L44" s="29"/>
      <x:c r="M44" s="29"/>
      <x:c r="N44" s="29"/>
      <x:c r="O44" s="29"/>
      <x:c r="P44" s="29"/>
      <x:c r="Q44" s="29"/>
      <x:c r="R44" s="29"/>
      <x:c r="S44" s="29"/>
      <x:c r="T44" s="29"/>
      <x:c r="U44" s="37" t="str">
        <x:f>IF(D44="","",IF(AND(F44&lt;&gt;"",I44&lt;&gt;"",N44&lt;&gt;"",O44&lt;&gt;""),"可分析","待补充"))</x:f>
      </x:c>
    </x:row>
    <x:row r="45" ht="32" customHeight="1">
      <x:c r="A45" s="29"/>
      <x:c r="B45" s="29"/>
      <x:c r="C45" s="29"/>
      <x:c r="D45" s="29"/>
      <x:c r="E45" s="29"/>
      <x:c r="F45" s="29"/>
      <x:c r="G45" s="29"/>
      <x:c r="H45" s="43"/>
      <x:c r="I45" s="29"/>
      <x:c r="J45" s="39"/>
      <x:c r="K45" s="29"/>
      <x:c r="L45" s="29"/>
      <x:c r="M45" s="29"/>
      <x:c r="N45" s="29"/>
      <x:c r="O45" s="29"/>
      <x:c r="P45" s="29"/>
      <x:c r="Q45" s="29"/>
      <x:c r="R45" s="29"/>
      <x:c r="S45" s="29"/>
      <x:c r="T45" s="29"/>
      <x:c r="U45" s="37" t="str">
        <x:f>IF(D45="","",IF(AND(F45&lt;&gt;"",I45&lt;&gt;"",N45&lt;&gt;"",O45&lt;&gt;""),"可分析","待补充"))</x:f>
      </x:c>
    </x:row>
    <x:row r="46" ht="32" customHeight="1">
      <x:c r="A46" s="29"/>
      <x:c r="B46" s="29"/>
      <x:c r="C46" s="29"/>
      <x:c r="D46" s="29"/>
      <x:c r="E46" s="29"/>
      <x:c r="F46" s="29"/>
      <x:c r="G46" s="29"/>
      <x:c r="H46" s="43"/>
      <x:c r="I46" s="29"/>
      <x:c r="J46" s="39"/>
      <x:c r="K46" s="29"/>
      <x:c r="L46" s="29"/>
      <x:c r="M46" s="29"/>
      <x:c r="N46" s="29"/>
      <x:c r="O46" s="29"/>
      <x:c r="P46" s="29"/>
      <x:c r="Q46" s="29"/>
      <x:c r="R46" s="29"/>
      <x:c r="S46" s="29"/>
      <x:c r="T46" s="29"/>
      <x:c r="U46" s="37" t="str">
        <x:f>IF(D46="","",IF(AND(F46&lt;&gt;"",I46&lt;&gt;"",N46&lt;&gt;"",O46&lt;&gt;""),"可分析","待补充"))</x:f>
      </x:c>
    </x:row>
    <x:row r="47" ht="32" customHeight="1">
      <x:c r="A47" s="29"/>
      <x:c r="B47" s="29"/>
      <x:c r="C47" s="29"/>
      <x:c r="D47" s="29"/>
      <x:c r="E47" s="29"/>
      <x:c r="F47" s="29"/>
      <x:c r="G47" s="29"/>
      <x:c r="H47" s="43"/>
      <x:c r="I47" s="29"/>
      <x:c r="J47" s="39"/>
      <x:c r="K47" s="29"/>
      <x:c r="L47" s="29"/>
      <x:c r="M47" s="29"/>
      <x:c r="N47" s="29"/>
      <x:c r="O47" s="29"/>
      <x:c r="P47" s="29"/>
      <x:c r="Q47" s="29"/>
      <x:c r="R47" s="29"/>
      <x:c r="S47" s="29"/>
      <x:c r="T47" s="29"/>
      <x:c r="U47" s="37" t="str">
        <x:f>IF(D47="","",IF(AND(F47&lt;&gt;"",I47&lt;&gt;"",N47&lt;&gt;"",O47&lt;&gt;""),"可分析","待补充"))</x:f>
      </x:c>
    </x:row>
    <x:row r="48" ht="32" customHeight="1">
      <x:c r="A48" s="29"/>
      <x:c r="B48" s="29"/>
      <x:c r="C48" s="29"/>
      <x:c r="D48" s="29"/>
      <x:c r="E48" s="29"/>
      <x:c r="F48" s="29"/>
      <x:c r="G48" s="29"/>
      <x:c r="H48" s="43"/>
      <x:c r="I48" s="29"/>
      <x:c r="J48" s="39"/>
      <x:c r="K48" s="29"/>
      <x:c r="L48" s="29"/>
      <x:c r="M48" s="29"/>
      <x:c r="N48" s="29"/>
      <x:c r="O48" s="29"/>
      <x:c r="P48" s="29"/>
      <x:c r="Q48" s="29"/>
      <x:c r="R48" s="29"/>
      <x:c r="S48" s="29"/>
      <x:c r="T48" s="29"/>
      <x:c r="U48" s="37" t="str">
        <x:f>IF(D48="","",IF(AND(F48&lt;&gt;"",I48&lt;&gt;"",N48&lt;&gt;"",O48&lt;&gt;""),"可分析","待补充"))</x:f>
      </x:c>
    </x:row>
    <x:row r="49" ht="32" customHeight="1">
      <x:c r="A49" s="29"/>
      <x:c r="B49" s="29"/>
      <x:c r="C49" s="29"/>
      <x:c r="D49" s="29"/>
      <x:c r="E49" s="29"/>
      <x:c r="F49" s="29"/>
      <x:c r="G49" s="29"/>
      <x:c r="H49" s="43"/>
      <x:c r="I49" s="29"/>
      <x:c r="J49" s="39"/>
      <x:c r="K49" s="29"/>
      <x:c r="L49" s="29"/>
      <x:c r="M49" s="29"/>
      <x:c r="N49" s="29"/>
      <x:c r="O49" s="29"/>
      <x:c r="P49" s="29"/>
      <x:c r="Q49" s="29"/>
      <x:c r="R49" s="29"/>
      <x:c r="S49" s="29"/>
      <x:c r="T49" s="29"/>
      <x:c r="U49" s="37" t="str">
        <x:f>IF(D49="","",IF(AND(F49&lt;&gt;"",I49&lt;&gt;"",N49&lt;&gt;"",O49&lt;&gt;""),"可分析","待补充"))</x:f>
      </x:c>
    </x:row>
    <x:row r="50" ht="32" customHeight="1">
      <x:c r="A50" s="29"/>
      <x:c r="B50" s="29"/>
      <x:c r="C50" s="29"/>
      <x:c r="D50" s="29"/>
      <x:c r="E50" s="29"/>
      <x:c r="F50" s="29"/>
      <x:c r="G50" s="29"/>
      <x:c r="H50" s="43"/>
      <x:c r="I50" s="29"/>
      <x:c r="J50" s="39"/>
      <x:c r="K50" s="29"/>
      <x:c r="L50" s="29"/>
      <x:c r="M50" s="29"/>
      <x:c r="N50" s="29"/>
      <x:c r="O50" s="29"/>
      <x:c r="P50" s="29"/>
      <x:c r="Q50" s="29"/>
      <x:c r="R50" s="29"/>
      <x:c r="S50" s="29"/>
      <x:c r="T50" s="29"/>
      <x:c r="U50" s="37" t="str">
        <x:f>IF(D50="","",IF(AND(F50&lt;&gt;"",I50&lt;&gt;"",N50&lt;&gt;"",O50&lt;&gt;""),"可分析","待补充"))</x:f>
      </x:c>
    </x:row>
    <x:row r="51" ht="32" customHeight="1">
      <x:c r="A51" s="29"/>
      <x:c r="B51" s="29"/>
      <x:c r="C51" s="29"/>
      <x:c r="D51" s="29"/>
      <x:c r="E51" s="29"/>
      <x:c r="F51" s="29"/>
      <x:c r="G51" s="29"/>
      <x:c r="H51" s="43"/>
      <x:c r="I51" s="29"/>
      <x:c r="J51" s="39"/>
      <x:c r="K51" s="29"/>
      <x:c r="L51" s="29"/>
      <x:c r="M51" s="29"/>
      <x:c r="N51" s="29"/>
      <x:c r="O51" s="29"/>
      <x:c r="P51" s="29"/>
      <x:c r="Q51" s="29"/>
      <x:c r="R51" s="29"/>
      <x:c r="S51" s="29"/>
      <x:c r="T51" s="29"/>
      <x:c r="U51" s="37" t="str">
        <x:f>IF(D51="","",IF(AND(F51&lt;&gt;"",I51&lt;&gt;"",N51&lt;&gt;"",O51&lt;&gt;""),"可分析","待补充"))</x:f>
      </x:c>
    </x:row>
    <x:row r="52" ht="32" customHeight="1">
      <x:c r="A52" s="29"/>
      <x:c r="B52" s="29"/>
      <x:c r="C52" s="29"/>
      <x:c r="D52" s="29"/>
      <x:c r="E52" s="29"/>
      <x:c r="F52" s="29"/>
      <x:c r="G52" s="29"/>
      <x:c r="H52" s="43"/>
      <x:c r="I52" s="29"/>
      <x:c r="J52" s="39"/>
      <x:c r="K52" s="29"/>
      <x:c r="L52" s="29"/>
      <x:c r="M52" s="29"/>
      <x:c r="N52" s="29"/>
      <x:c r="O52" s="29"/>
      <x:c r="P52" s="29"/>
      <x:c r="Q52" s="29"/>
      <x:c r="R52" s="29"/>
      <x:c r="S52" s="29"/>
      <x:c r="T52" s="29"/>
      <x:c r="U52" s="37" t="str">
        <x:f>IF(D52="","",IF(AND(F52&lt;&gt;"",I52&lt;&gt;"",N52&lt;&gt;"",O52&lt;&gt;""),"可分析","待补充"))</x:f>
      </x:c>
    </x:row>
    <x:row r="53" ht="32" customHeight="1">
      <x:c r="A53" s="29"/>
      <x:c r="B53" s="29"/>
      <x:c r="C53" s="29"/>
      <x:c r="D53" s="29"/>
      <x:c r="E53" s="29"/>
      <x:c r="F53" s="29"/>
      <x:c r="G53" s="29"/>
      <x:c r="H53" s="43"/>
      <x:c r="I53" s="29"/>
      <x:c r="J53" s="39"/>
      <x:c r="K53" s="29"/>
      <x:c r="L53" s="29"/>
      <x:c r="M53" s="29"/>
      <x:c r="N53" s="29"/>
      <x:c r="O53" s="29"/>
      <x:c r="P53" s="29"/>
      <x:c r="Q53" s="29"/>
      <x:c r="R53" s="29"/>
      <x:c r="S53" s="29"/>
      <x:c r="T53" s="29"/>
      <x:c r="U53" s="37" t="str">
        <x:f>IF(D53="","",IF(AND(F53&lt;&gt;"",I53&lt;&gt;"",N53&lt;&gt;"",O53&lt;&gt;""),"可分析","待补充"))</x:f>
      </x:c>
    </x:row>
    <x:row r="54" ht="32" customHeight="1">
      <x:c r="A54" s="29"/>
      <x:c r="B54" s="29"/>
      <x:c r="C54" s="29"/>
      <x:c r="D54" s="29"/>
      <x:c r="E54" s="29"/>
      <x:c r="F54" s="29"/>
      <x:c r="G54" s="29"/>
      <x:c r="H54" s="43"/>
      <x:c r="I54" s="29"/>
      <x:c r="J54" s="39"/>
      <x:c r="K54" s="29"/>
      <x:c r="L54" s="29"/>
      <x:c r="M54" s="29"/>
      <x:c r="N54" s="29"/>
      <x:c r="O54" s="29"/>
      <x:c r="P54" s="29"/>
      <x:c r="Q54" s="29"/>
      <x:c r="R54" s="29"/>
      <x:c r="S54" s="29"/>
      <x:c r="T54" s="29"/>
      <x:c r="U54" s="37" t="str">
        <x:f>IF(D54="","",IF(AND(F54&lt;&gt;"",I54&lt;&gt;"",N54&lt;&gt;"",O54&lt;&gt;""),"可分析","待补充"))</x:f>
      </x:c>
    </x:row>
    <x:row r="55" ht="32" customHeight="1">
      <x:c r="A55" s="29"/>
      <x:c r="B55" s="29"/>
      <x:c r="C55" s="29"/>
      <x:c r="D55" s="29"/>
      <x:c r="E55" s="29"/>
      <x:c r="F55" s="29"/>
      <x:c r="G55" s="29"/>
      <x:c r="H55" s="43"/>
      <x:c r="I55" s="29"/>
      <x:c r="J55" s="39"/>
      <x:c r="K55" s="29"/>
      <x:c r="L55" s="29"/>
      <x:c r="M55" s="29"/>
      <x:c r="N55" s="29"/>
      <x:c r="O55" s="29"/>
      <x:c r="P55" s="29"/>
      <x:c r="Q55" s="29"/>
      <x:c r="R55" s="29"/>
      <x:c r="S55" s="29"/>
      <x:c r="T55" s="29"/>
      <x:c r="U55" s="37" t="str">
        <x:f>IF(D55="","",IF(AND(F55&lt;&gt;"",I55&lt;&gt;"",N55&lt;&gt;"",O55&lt;&gt;""),"可分析","待补充"))</x:f>
      </x:c>
    </x:row>
    <x:row r="56" ht="32" customHeight="1">
      <x:c r="A56" s="29"/>
      <x:c r="B56" s="29"/>
      <x:c r="C56" s="29"/>
      <x:c r="D56" s="29"/>
      <x:c r="E56" s="29"/>
      <x:c r="F56" s="29"/>
      <x:c r="G56" s="29"/>
      <x:c r="H56" s="43"/>
      <x:c r="I56" s="29"/>
      <x:c r="J56" s="39"/>
      <x:c r="K56" s="29"/>
      <x:c r="L56" s="29"/>
      <x:c r="M56" s="29"/>
      <x:c r="N56" s="29"/>
      <x:c r="O56" s="29"/>
      <x:c r="P56" s="29"/>
      <x:c r="Q56" s="29"/>
      <x:c r="R56" s="29"/>
      <x:c r="S56" s="29"/>
      <x:c r="T56" s="29"/>
      <x:c r="U56" s="37" t="str">
        <x:f>IF(D56="","",IF(AND(F56&lt;&gt;"",I56&lt;&gt;"",N56&lt;&gt;"",O56&lt;&gt;""),"可分析","待补充"))</x:f>
      </x:c>
    </x:row>
    <x:row r="57" ht="32" customHeight="1">
      <x:c r="A57" s="29"/>
      <x:c r="B57" s="29"/>
      <x:c r="C57" s="29"/>
      <x:c r="D57" s="29"/>
      <x:c r="E57" s="29"/>
      <x:c r="F57" s="29"/>
      <x:c r="G57" s="29"/>
      <x:c r="H57" s="43"/>
      <x:c r="I57" s="29"/>
      <x:c r="J57" s="39"/>
      <x:c r="K57" s="29"/>
      <x:c r="L57" s="29"/>
      <x:c r="M57" s="29"/>
      <x:c r="N57" s="29"/>
      <x:c r="O57" s="29"/>
      <x:c r="P57" s="29"/>
      <x:c r="Q57" s="29"/>
      <x:c r="R57" s="29"/>
      <x:c r="S57" s="29"/>
      <x:c r="T57" s="29"/>
      <x:c r="U57" s="37" t="str">
        <x:f>IF(D57="","",IF(AND(F57&lt;&gt;"",I57&lt;&gt;"",N57&lt;&gt;"",O57&lt;&gt;""),"可分析","待补充"))</x:f>
      </x:c>
    </x:row>
    <x:row r="58" ht="32" customHeight="1">
      <x:c r="A58" s="29"/>
      <x:c r="B58" s="29"/>
      <x:c r="C58" s="29"/>
      <x:c r="D58" s="29"/>
      <x:c r="E58" s="29"/>
      <x:c r="F58" s="29"/>
      <x:c r="G58" s="29"/>
      <x:c r="H58" s="43"/>
      <x:c r="I58" s="29"/>
      <x:c r="J58" s="39"/>
      <x:c r="K58" s="29"/>
      <x:c r="L58" s="29"/>
      <x:c r="M58" s="29"/>
      <x:c r="N58" s="29"/>
      <x:c r="O58" s="29"/>
      <x:c r="P58" s="29"/>
      <x:c r="Q58" s="29"/>
      <x:c r="R58" s="29"/>
      <x:c r="S58" s="29"/>
      <x:c r="T58" s="29"/>
      <x:c r="U58" s="37" t="str">
        <x:f>IF(D58="","",IF(AND(F58&lt;&gt;"",I58&lt;&gt;"",N58&lt;&gt;"",O58&lt;&gt;""),"可分析","待补充"))</x:f>
      </x:c>
    </x:row>
    <x:row r="59" ht="32" customHeight="1">
      <x:c r="A59" s="29"/>
      <x:c r="B59" s="29"/>
      <x:c r="C59" s="29"/>
      <x:c r="D59" s="29"/>
      <x:c r="E59" s="29"/>
      <x:c r="F59" s="29"/>
      <x:c r="G59" s="29"/>
      <x:c r="H59" s="43"/>
      <x:c r="I59" s="29"/>
      <x:c r="J59" s="39"/>
      <x:c r="K59" s="29"/>
      <x:c r="L59" s="29"/>
      <x:c r="M59" s="29"/>
      <x:c r="N59" s="29"/>
      <x:c r="O59" s="29"/>
      <x:c r="P59" s="29"/>
      <x:c r="Q59" s="29"/>
      <x:c r="R59" s="29"/>
      <x:c r="S59" s="29"/>
      <x:c r="T59" s="29"/>
      <x:c r="U59" s="37" t="str">
        <x:f>IF(D59="","",IF(AND(F59&lt;&gt;"",I59&lt;&gt;"",N59&lt;&gt;"",O59&lt;&gt;""),"可分析","待补充"))</x:f>
      </x:c>
    </x:row>
    <x:row r="60" ht="32" customHeight="1">
      <x:c r="A60" s="29"/>
      <x:c r="B60" s="29"/>
      <x:c r="C60" s="29"/>
      <x:c r="D60" s="29"/>
      <x:c r="E60" s="29"/>
      <x:c r="F60" s="29"/>
      <x:c r="G60" s="29"/>
      <x:c r="H60" s="43"/>
      <x:c r="I60" s="29"/>
      <x:c r="J60" s="39"/>
      <x:c r="K60" s="29"/>
      <x:c r="L60" s="29"/>
      <x:c r="M60" s="29"/>
      <x:c r="N60" s="29"/>
      <x:c r="O60" s="29"/>
      <x:c r="P60" s="29"/>
      <x:c r="Q60" s="29"/>
      <x:c r="R60" s="29"/>
      <x:c r="S60" s="29"/>
      <x:c r="T60" s="29"/>
      <x:c r="U60" s="37" t="str">
        <x:f>IF(D60="","",IF(AND(F60&lt;&gt;"",I60&lt;&gt;"",N60&lt;&gt;"",O60&lt;&gt;""),"可分析","待补充"))</x:f>
      </x:c>
    </x:row>
    <x:row r="61" ht="32" customHeight="1">
      <x:c r="A61" s="29"/>
      <x:c r="B61" s="29"/>
      <x:c r="C61" s="29"/>
      <x:c r="D61" s="29"/>
      <x:c r="E61" s="29"/>
      <x:c r="F61" s="29"/>
      <x:c r="G61" s="29"/>
      <x:c r="H61" s="43"/>
      <x:c r="I61" s="29"/>
      <x:c r="J61" s="39"/>
      <x:c r="K61" s="29"/>
      <x:c r="L61" s="29"/>
      <x:c r="M61" s="29"/>
      <x:c r="N61" s="29"/>
      <x:c r="O61" s="29"/>
      <x:c r="P61" s="29"/>
      <x:c r="Q61" s="29"/>
      <x:c r="R61" s="29"/>
      <x:c r="S61" s="29"/>
      <x:c r="T61" s="29"/>
      <x:c r="U61" s="37" t="str">
        <x:f>IF(D61="","",IF(AND(F61&lt;&gt;"",I61&lt;&gt;"",N61&lt;&gt;"",O61&lt;&gt;""),"可分析","待补充"))</x:f>
      </x:c>
    </x:row>
    <x:row r="62" ht="32" customHeight="1">
      <x:c r="A62" s="29"/>
      <x:c r="B62" s="29"/>
      <x:c r="C62" s="29"/>
      <x:c r="D62" s="29"/>
      <x:c r="E62" s="29"/>
      <x:c r="F62" s="29"/>
      <x:c r="G62" s="29"/>
      <x:c r="H62" s="43"/>
      <x:c r="I62" s="29"/>
      <x:c r="J62" s="39"/>
      <x:c r="K62" s="29"/>
      <x:c r="L62" s="29"/>
      <x:c r="M62" s="29"/>
      <x:c r="N62" s="29"/>
      <x:c r="O62" s="29"/>
      <x:c r="P62" s="29"/>
      <x:c r="Q62" s="29"/>
      <x:c r="R62" s="29"/>
      <x:c r="S62" s="29"/>
      <x:c r="T62" s="29"/>
      <x:c r="U62" s="37" t="str">
        <x:f>IF(D62="","",IF(AND(F62&lt;&gt;"",I62&lt;&gt;"",N62&lt;&gt;"",O62&lt;&gt;""),"可分析","待补充"))</x:f>
      </x:c>
    </x:row>
    <x:row r="63" ht="32" customHeight="1">
      <x:c r="A63" s="29"/>
      <x:c r="B63" s="29"/>
      <x:c r="C63" s="29"/>
      <x:c r="D63" s="29"/>
      <x:c r="E63" s="29"/>
      <x:c r="F63" s="29"/>
      <x:c r="G63" s="29"/>
      <x:c r="H63" s="43"/>
      <x:c r="I63" s="29"/>
      <x:c r="J63" s="39"/>
      <x:c r="K63" s="29"/>
      <x:c r="L63" s="29"/>
      <x:c r="M63" s="29"/>
      <x:c r="N63" s="29"/>
      <x:c r="O63" s="29"/>
      <x:c r="P63" s="29"/>
      <x:c r="Q63" s="29"/>
      <x:c r="R63" s="29"/>
      <x:c r="S63" s="29"/>
      <x:c r="T63" s="29"/>
      <x:c r="U63" s="37" t="str">
        <x:f>IF(D63="","",IF(AND(F63&lt;&gt;"",I63&lt;&gt;"",N63&lt;&gt;"",O63&lt;&gt;""),"可分析","待补充"))</x:f>
      </x:c>
    </x:row>
    <x:row r="64" ht="32" customHeight="1">
      <x:c r="A64" s="29"/>
      <x:c r="B64" s="29"/>
      <x:c r="C64" s="29"/>
      <x:c r="D64" s="29"/>
      <x:c r="E64" s="29"/>
      <x:c r="F64" s="29"/>
      <x:c r="G64" s="29"/>
      <x:c r="H64" s="43"/>
      <x:c r="I64" s="29"/>
      <x:c r="J64" s="39"/>
      <x:c r="K64" s="29"/>
      <x:c r="L64" s="29"/>
      <x:c r="M64" s="29"/>
      <x:c r="N64" s="29"/>
      <x:c r="O64" s="29"/>
      <x:c r="P64" s="29"/>
      <x:c r="Q64" s="29"/>
      <x:c r="R64" s="29"/>
      <x:c r="S64" s="29"/>
      <x:c r="T64" s="29"/>
      <x:c r="U64" s="37" t="str">
        <x:f>IF(D64="","",IF(AND(F64&lt;&gt;"",I64&lt;&gt;"",N64&lt;&gt;"",O64&lt;&gt;""),"可分析","待补充"))</x:f>
      </x:c>
    </x:row>
  </x:sheetData>
  <x:mergeCells>
    <x:mergeCell ref="A1:U1"/>
    <x:mergeCell ref="A2:U2"/>
  </x:mergeCells>
  <x:conditionalFormatting sqref="U5:U64">
    <x:cfRule type="containsText" dxfId="6" priority="1" operator="containsText" text="可追溯"/>
    <x:cfRule type="containsText" dxfId="7" priority="2" operator="containsText" text="可分析"/>
    <x:cfRule type="containsText" dxfId="8" priority="3" operator="containsText" text="待补充"/>
  </x:conditionalFormatting>
  <x:dataValidations count="3">
    <x:dataValidation type="list" sqref="F5:F64">
      <x:formula1>"待投递,已投递,投递失败,待确认"</x:formula1>
    </x:dataValidation>
    <x:dataValidation type="list" sqref="I5:I64">
      <x:formula1>"是,否,待确认"</x:formula1>
    </x:dataValidation>
    <x:dataValidation type="list" sqref="P5:P64">
      <x:formula1>"是,否,待确认"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f9bcddec44e42e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4" hidden="0" customWidth="1"/>
    <x:col min="3" max="3" width="14" hidden="0" customWidth="1"/>
    <x:col min="4" max="4" width="15" hidden="0" customWidth="1"/>
    <x:col min="5" max="5" width="18" hidden="0" customWidth="1"/>
    <x:col min="6" max="6" width="14" hidden="0" customWidth="1"/>
    <x:col min="7" max="7" width="34" hidden="0" customWidth="1"/>
    <x:col min="8" max="8" width="42" hidden="0" customWidth="1"/>
    <x:col min="9" max="9" width="18" hidden="0" customWidth="1"/>
    <x:col min="10" max="10" width="20" hidden="0" customWidth="1"/>
    <x:col min="11" max="11" width="16" hidden="0" customWidth="1"/>
    <x:col min="12" max="12" width="20" hidden="0" customWidth="1"/>
    <x:col min="13" max="13" width="14" hidden="0" customWidth="1"/>
    <x:col min="14" max="14" width="34" hidden="0" customWidth="1"/>
    <x:col min="15" max="15" width="28" hidden="0" customWidth="1"/>
    <x:col min="16" max="16" width="28" hidden="0" customWidth="1"/>
    <x:col min="17" max="17" width="30" hidden="0" customWidth="1"/>
    <x:col min="18" max="18" width="32" hidden="0" customWidth="1"/>
    <x:col min="19" max="19" width="20" hidden="0" customWidth="1"/>
    <x:col min="20" max="20" width="32" hidden="0" customWidth="1"/>
    <x:col min="21" max="21" width="24" hidden="0" customWidth="1"/>
    <x:col min="22" max="22" width="14" hidden="0" customWidth="1"/>
  </x:cols>
  <x:sheetData>
    <x:row r="1" ht="34" customHeight="1">
      <x:c r="A1" s="4" t="str">
        <x:v>局部观察投递与效果记录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</x:row>
    <x:row r="2" ht="30" customHeight="1">
      <x:c r="A2" s="8" t="str">
        <x:v>先写自然语言观察，再根据记忆、计划、行动与世界结果事后判断其相对当前版本是正向、负向还是基本关联；不要预设固定输入时点。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T2" s="8"/>
      <x:c r="U2" s="8"/>
      <x:c r="V2" s="8"/>
    </x:row>
    <x:row r="4" ht="36" customHeight="1">
      <x:c r="A4" s="14" t="str">
        <x:v>观察 ID</x:v>
      </x:c>
      <x:c r="B4" s="14" t="str">
        <x:v>实验编号</x:v>
      </x:c>
      <x:c r="C4" s="14" t="str">
        <x:v>运行 ID</x:v>
      </x:c>
      <x:c r="D4" s="14" t="str">
        <x:v>当前意图版本</x:v>
      </x:c>
      <x:c r="E4" s="14" t="str">
        <x:v>投递时间</x:v>
      </x:c>
      <x:c r="F4" s="14" t="str">
        <x:v>目标居民</x:v>
      </x:c>
      <x:c r="G4" s="14" t="str">
        <x:v>原始运行证据</x:v>
      </x:c>
      <x:c r="H4" s="14" t="str">
        <x:v>观察文本（自然语言）</x:v>
      </x:c>
      <x:c r="I4" s="14" t="str">
        <x:v>数学分类（事后）</x:v>
      </x:c>
      <x:c r="J4" s="14" t="str">
        <x:v>投递时是否预设分类</x:v>
      </x:c>
      <x:c r="K4" s="14" t="str">
        <x:v>记忆写入状态</x:v>
      </x:c>
      <x:c r="L4" s="14" t="str">
        <x:v>记忆节点 ID</x:v>
      </x:c>
      <x:c r="M4" s="14" t="str">
        <x:v>是否被检索</x:v>
      </x:c>
      <x:c r="N4" s="14" t="str">
        <x:v>相关检索内容</x:v>
      </x:c>
      <x:c r="O4" s="14" t="str">
        <x:v>投递前计划</x:v>
      </x:c>
      <x:c r="P4" s="14" t="str">
        <x:v>投递后计划</x:v>
      </x:c>
      <x:c r="Q4" s="14" t="str">
        <x:v>实际行动</x:v>
      </x:c>
      <x:c r="R4" s="14" t="str">
        <x:v>世界结果</x:v>
      </x:c>
      <x:c r="S4" s="14" t="str">
        <x:v>相对当前版本效果</x:v>
      </x:c>
      <x:c r="T4" s="14" t="str">
        <x:v>证据链接</x:v>
      </x:c>
      <x:c r="U4" s="14" t="str">
        <x:v>备注</x:v>
      </x:c>
      <x:c r="V4" s="14" t="str">
        <x:v>记录完整性</x:v>
      </x:c>
    </x:row>
    <x:row r="5" ht="32" customHeight="1">
      <x:c r="A5" s="19"/>
      <x:c r="B5" s="19"/>
      <x:c r="C5" s="19"/>
      <x:c r="D5" s="19"/>
      <x:c r="E5" s="38"/>
      <x:c r="F5" s="19"/>
      <x:c r="G5" s="19"/>
      <x:c r="H5" s="19"/>
      <x:c r="I5" s="19"/>
      <x:c r="J5" s="19"/>
      <x:c r="K5" s="19"/>
      <x:c r="L5" s="19"/>
      <x:c r="M5" s="19"/>
      <x:c r="N5" s="19"/>
      <x:c r="O5" s="19"/>
      <x:c r="P5" s="19"/>
      <x:c r="Q5" s="19"/>
      <x:c r="R5" s="19"/>
      <x:c r="S5" s="19"/>
      <x:c r="T5" s="19"/>
      <x:c r="U5" s="19"/>
      <x:c r="V5" s="36" t="str">
        <x:f>IF(H5="","",IF(AND(F5&lt;&gt;"",K5="已写入",Q5&lt;&gt;"",R5&lt;&gt;"",S5&lt;&gt;""),"可分析","待补充"))</x:f>
      </x:c>
    </x:row>
    <x:row r="6" ht="32" customHeight="1">
      <x:c r="A6" s="29"/>
      <x:c r="B6" s="29"/>
      <x:c r="C6" s="29"/>
      <x:c r="D6" s="29"/>
      <x:c r="E6" s="39"/>
      <x:c r="F6" s="29"/>
      <x:c r="G6" s="29"/>
      <x:c r="H6" s="29"/>
      <x:c r="I6" s="29"/>
      <x:c r="J6" s="29"/>
      <x:c r="K6" s="29"/>
      <x:c r="L6" s="29"/>
      <x:c r="M6" s="29"/>
      <x:c r="N6" s="29"/>
      <x:c r="O6" s="29"/>
      <x:c r="P6" s="29"/>
      <x:c r="Q6" s="29"/>
      <x:c r="R6" s="29"/>
      <x:c r="S6" s="29"/>
      <x:c r="T6" s="29"/>
      <x:c r="U6" s="29"/>
      <x:c r="V6" s="37" t="str">
        <x:f>IF(H6="","",IF(AND(F6&lt;&gt;"",K6="已写入",Q6&lt;&gt;"",R6&lt;&gt;"",S6&lt;&gt;""),"可分析","待补充"))</x:f>
      </x:c>
    </x:row>
    <x:row r="7" ht="32" customHeight="1">
      <x:c r="A7" s="29"/>
      <x:c r="B7" s="29"/>
      <x:c r="C7" s="29"/>
      <x:c r="D7" s="29"/>
      <x:c r="E7" s="39"/>
      <x:c r="F7" s="29"/>
      <x:c r="G7" s="29"/>
      <x:c r="H7" s="29"/>
      <x:c r="I7" s="29"/>
      <x:c r="J7" s="29"/>
      <x:c r="K7" s="29"/>
      <x:c r="L7" s="29"/>
      <x:c r="M7" s="29"/>
      <x:c r="N7" s="29"/>
      <x:c r="O7" s="29"/>
      <x:c r="P7" s="29"/>
      <x:c r="Q7" s="29"/>
      <x:c r="R7" s="29"/>
      <x:c r="S7" s="29"/>
      <x:c r="T7" s="29"/>
      <x:c r="U7" s="29"/>
      <x:c r="V7" s="37" t="str">
        <x:f>IF(H7="","",IF(AND(F7&lt;&gt;"",K7="已写入",Q7&lt;&gt;"",R7&lt;&gt;"",S7&lt;&gt;""),"可分析","待补充"))</x:f>
      </x:c>
    </x:row>
    <x:row r="8" ht="32" customHeight="1">
      <x:c r="A8" s="29"/>
      <x:c r="B8" s="29"/>
      <x:c r="C8" s="29"/>
      <x:c r="D8" s="29"/>
      <x:c r="E8" s="39"/>
      <x:c r="F8" s="29"/>
      <x:c r="G8" s="29"/>
      <x:c r="H8" s="29"/>
      <x:c r="I8" s="29"/>
      <x:c r="J8" s="29"/>
      <x:c r="K8" s="29"/>
      <x:c r="L8" s="29"/>
      <x:c r="M8" s="29"/>
      <x:c r="N8" s="29"/>
      <x:c r="O8" s="29"/>
      <x:c r="P8" s="29"/>
      <x:c r="Q8" s="29"/>
      <x:c r="R8" s="29"/>
      <x:c r="S8" s="29"/>
      <x:c r="T8" s="29"/>
      <x:c r="U8" s="29"/>
      <x:c r="V8" s="37" t="str">
        <x:f>IF(H8="","",IF(AND(F8&lt;&gt;"",K8="已写入",Q8&lt;&gt;"",R8&lt;&gt;"",S8&lt;&gt;""),"可分析","待补充"))</x:f>
      </x:c>
    </x:row>
    <x:row r="9" ht="32" customHeight="1">
      <x:c r="A9" s="29"/>
      <x:c r="B9" s="29"/>
      <x:c r="C9" s="29"/>
      <x:c r="D9" s="29"/>
      <x:c r="E9" s="39"/>
      <x:c r="F9" s="29"/>
      <x:c r="G9" s="29"/>
      <x:c r="H9" s="29"/>
      <x:c r="I9" s="29"/>
      <x:c r="J9" s="29"/>
      <x:c r="K9" s="29"/>
      <x:c r="L9" s="29"/>
      <x:c r="M9" s="29"/>
      <x:c r="N9" s="29"/>
      <x:c r="O9" s="29"/>
      <x:c r="P9" s="29"/>
      <x:c r="Q9" s="29"/>
      <x:c r="R9" s="29"/>
      <x:c r="S9" s="29"/>
      <x:c r="T9" s="29"/>
      <x:c r="U9" s="29"/>
      <x:c r="V9" s="37" t="str">
        <x:f>IF(H9="","",IF(AND(F9&lt;&gt;"",K9="已写入",Q9&lt;&gt;"",R9&lt;&gt;"",S9&lt;&gt;""),"可分析","待补充"))</x:f>
      </x:c>
    </x:row>
    <x:row r="10" ht="32" customHeight="1">
      <x:c r="A10" s="29"/>
      <x:c r="B10" s="29"/>
      <x:c r="C10" s="29"/>
      <x:c r="D10" s="29"/>
      <x:c r="E10" s="39"/>
      <x:c r="F10" s="29"/>
      <x:c r="G10" s="29"/>
      <x:c r="H10" s="29"/>
      <x:c r="I10" s="29"/>
      <x:c r="J10" s="29"/>
      <x:c r="K10" s="29"/>
      <x:c r="L10" s="29"/>
      <x:c r="M10" s="29"/>
      <x:c r="N10" s="29"/>
      <x:c r="O10" s="29"/>
      <x:c r="P10" s="29"/>
      <x:c r="Q10" s="29"/>
      <x:c r="R10" s="29"/>
      <x:c r="S10" s="29"/>
      <x:c r="T10" s="29"/>
      <x:c r="U10" s="29"/>
      <x:c r="V10" s="37" t="str">
        <x:f>IF(H10="","",IF(AND(F10&lt;&gt;"",K10="已写入",Q10&lt;&gt;"",R10&lt;&gt;"",S10&lt;&gt;""),"可分析","待补充"))</x:f>
      </x:c>
    </x:row>
    <x:row r="11" ht="32" customHeight="1">
      <x:c r="A11" s="29"/>
      <x:c r="B11" s="29"/>
      <x:c r="C11" s="29"/>
      <x:c r="D11" s="29"/>
      <x:c r="E11" s="39"/>
      <x:c r="F11" s="29"/>
      <x:c r="G11" s="29"/>
      <x:c r="H11" s="29"/>
      <x:c r="I11" s="29"/>
      <x:c r="J11" s="29"/>
      <x:c r="K11" s="29"/>
      <x:c r="L11" s="29"/>
      <x:c r="M11" s="29"/>
      <x:c r="N11" s="29"/>
      <x:c r="O11" s="29"/>
      <x:c r="P11" s="29"/>
      <x:c r="Q11" s="29"/>
      <x:c r="R11" s="29"/>
      <x:c r="S11" s="29"/>
      <x:c r="T11" s="29"/>
      <x:c r="U11" s="29"/>
      <x:c r="V11" s="37" t="str">
        <x:f>IF(H11="","",IF(AND(F11&lt;&gt;"",K11="已写入",Q11&lt;&gt;"",R11&lt;&gt;"",S11&lt;&gt;""),"可分析","待补充"))</x:f>
      </x:c>
    </x:row>
    <x:row r="12" ht="32" customHeight="1">
      <x:c r="A12" s="29"/>
      <x:c r="B12" s="29"/>
      <x:c r="C12" s="29"/>
      <x:c r="D12" s="29"/>
      <x:c r="E12" s="39"/>
      <x:c r="F12" s="29"/>
      <x:c r="G12" s="29"/>
      <x:c r="H12" s="29"/>
      <x:c r="I12" s="29"/>
      <x:c r="J12" s="29"/>
      <x:c r="K12" s="29"/>
      <x:c r="L12" s="29"/>
      <x:c r="M12" s="29"/>
      <x:c r="N12" s="29"/>
      <x:c r="O12" s="29"/>
      <x:c r="P12" s="29"/>
      <x:c r="Q12" s="29"/>
      <x:c r="R12" s="29"/>
      <x:c r="S12" s="29"/>
      <x:c r="T12" s="29"/>
      <x:c r="U12" s="29"/>
      <x:c r="V12" s="37" t="str">
        <x:f>IF(H12="","",IF(AND(F12&lt;&gt;"",K12="已写入",Q12&lt;&gt;"",R12&lt;&gt;"",S12&lt;&gt;""),"可分析","待补充"))</x:f>
      </x:c>
    </x:row>
    <x:row r="13" ht="32" customHeight="1">
      <x:c r="A13" s="29"/>
      <x:c r="B13" s="29"/>
      <x:c r="C13" s="29"/>
      <x:c r="D13" s="29"/>
      <x:c r="E13" s="39"/>
      <x:c r="F13" s="29"/>
      <x:c r="G13" s="29"/>
      <x:c r="H13" s="29"/>
      <x:c r="I13" s="29"/>
      <x:c r="J13" s="29"/>
      <x:c r="K13" s="29"/>
      <x:c r="L13" s="29"/>
      <x:c r="M13" s="29"/>
      <x:c r="N13" s="29"/>
      <x:c r="O13" s="29"/>
      <x:c r="P13" s="29"/>
      <x:c r="Q13" s="29"/>
      <x:c r="R13" s="29"/>
      <x:c r="S13" s="29"/>
      <x:c r="T13" s="29"/>
      <x:c r="U13" s="29"/>
      <x:c r="V13" s="37" t="str">
        <x:f>IF(H13="","",IF(AND(F13&lt;&gt;"",K13="已写入",Q13&lt;&gt;"",R13&lt;&gt;"",S13&lt;&gt;""),"可分析","待补充"))</x:f>
      </x:c>
    </x:row>
    <x:row r="14" ht="32" customHeight="1">
      <x:c r="A14" s="29"/>
      <x:c r="B14" s="29"/>
      <x:c r="C14" s="29"/>
      <x:c r="D14" s="29"/>
      <x:c r="E14" s="39"/>
      <x:c r="F14" s="29"/>
      <x:c r="G14" s="29"/>
      <x:c r="H14" s="29"/>
      <x:c r="I14" s="29"/>
      <x:c r="J14" s="29"/>
      <x:c r="K14" s="29"/>
      <x:c r="L14" s="29"/>
      <x:c r="M14" s="29"/>
      <x:c r="N14" s="29"/>
      <x:c r="O14" s="29"/>
      <x:c r="P14" s="29"/>
      <x:c r="Q14" s="29"/>
      <x:c r="R14" s="29"/>
      <x:c r="S14" s="29"/>
      <x:c r="T14" s="29"/>
      <x:c r="U14" s="29"/>
      <x:c r="V14" s="37" t="str">
        <x:f>IF(H14="","",IF(AND(F14&lt;&gt;"",K14="已写入",Q14&lt;&gt;"",R14&lt;&gt;"",S14&lt;&gt;""),"可分析","待补充"))</x:f>
      </x:c>
    </x:row>
    <x:row r="15" ht="32" customHeight="1">
      <x:c r="A15" s="29"/>
      <x:c r="B15" s="29"/>
      <x:c r="C15" s="29"/>
      <x:c r="D15" s="29"/>
      <x:c r="E15" s="39"/>
      <x:c r="F15" s="29"/>
      <x:c r="G15" s="29"/>
      <x:c r="H15" s="29"/>
      <x:c r="I15" s="29"/>
      <x:c r="J15" s="29"/>
      <x:c r="K15" s="29"/>
      <x:c r="L15" s="29"/>
      <x:c r="M15" s="29"/>
      <x:c r="N15" s="29"/>
      <x:c r="O15" s="29"/>
      <x:c r="P15" s="29"/>
      <x:c r="Q15" s="29"/>
      <x:c r="R15" s="29"/>
      <x:c r="S15" s="29"/>
      <x:c r="T15" s="29"/>
      <x:c r="U15" s="29"/>
      <x:c r="V15" s="37" t="str">
        <x:f>IF(H15="","",IF(AND(F15&lt;&gt;"",K15="已写入",Q15&lt;&gt;"",R15&lt;&gt;"",S15&lt;&gt;""),"可分析","待补充"))</x:f>
      </x:c>
    </x:row>
    <x:row r="16" ht="32" customHeight="1">
      <x:c r="A16" s="29"/>
      <x:c r="B16" s="29"/>
      <x:c r="C16" s="29"/>
      <x:c r="D16" s="29"/>
      <x:c r="E16" s="39"/>
      <x:c r="F16" s="29"/>
      <x:c r="G16" s="29"/>
      <x:c r="H16" s="29"/>
      <x:c r="I16" s="29"/>
      <x:c r="J16" s="29"/>
      <x:c r="K16" s="29"/>
      <x:c r="L16" s="29"/>
      <x:c r="M16" s="29"/>
      <x:c r="N16" s="29"/>
      <x:c r="O16" s="29"/>
      <x:c r="P16" s="29"/>
      <x:c r="Q16" s="29"/>
      <x:c r="R16" s="29"/>
      <x:c r="S16" s="29"/>
      <x:c r="T16" s="29"/>
      <x:c r="U16" s="29"/>
      <x:c r="V16" s="37" t="str">
        <x:f>IF(H16="","",IF(AND(F16&lt;&gt;"",K16="已写入",Q16&lt;&gt;"",R16&lt;&gt;"",S16&lt;&gt;""),"可分析","待补充"))</x:f>
      </x:c>
    </x:row>
    <x:row r="17" ht="32" customHeight="1">
      <x:c r="A17" s="29"/>
      <x:c r="B17" s="29"/>
      <x:c r="C17" s="29"/>
      <x:c r="D17" s="29"/>
      <x:c r="E17" s="39"/>
      <x:c r="F17" s="29"/>
      <x:c r="G17" s="29"/>
      <x:c r="H17" s="29"/>
      <x:c r="I17" s="29"/>
      <x:c r="J17" s="29"/>
      <x:c r="K17" s="29"/>
      <x:c r="L17" s="29"/>
      <x:c r="M17" s="29"/>
      <x:c r="N17" s="29"/>
      <x:c r="O17" s="29"/>
      <x:c r="P17" s="29"/>
      <x:c r="Q17" s="29"/>
      <x:c r="R17" s="29"/>
      <x:c r="S17" s="29"/>
      <x:c r="T17" s="29"/>
      <x:c r="U17" s="29"/>
      <x:c r="V17" s="37" t="str">
        <x:f>IF(H17="","",IF(AND(F17&lt;&gt;"",K17="已写入",Q17&lt;&gt;"",R17&lt;&gt;"",S17&lt;&gt;""),"可分析","待补充"))</x:f>
      </x:c>
    </x:row>
    <x:row r="18" ht="32" customHeight="1">
      <x:c r="A18" s="29"/>
      <x:c r="B18" s="29"/>
      <x:c r="C18" s="29"/>
      <x:c r="D18" s="29"/>
      <x:c r="E18" s="39"/>
      <x:c r="F18" s="29"/>
      <x:c r="G18" s="29"/>
      <x:c r="H18" s="29"/>
      <x:c r="I18" s="29"/>
      <x:c r="J18" s="29"/>
      <x:c r="K18" s="29"/>
      <x:c r="L18" s="29"/>
      <x:c r="M18" s="29"/>
      <x:c r="N18" s="29"/>
      <x:c r="O18" s="29"/>
      <x:c r="P18" s="29"/>
      <x:c r="Q18" s="29"/>
      <x:c r="R18" s="29"/>
      <x:c r="S18" s="29"/>
      <x:c r="T18" s="29"/>
      <x:c r="U18" s="29"/>
      <x:c r="V18" s="37" t="str">
        <x:f>IF(H18="","",IF(AND(F18&lt;&gt;"",K18="已写入",Q18&lt;&gt;"",R18&lt;&gt;"",S18&lt;&gt;""),"可分析","待补充"))</x:f>
      </x:c>
    </x:row>
    <x:row r="19" ht="32" customHeight="1">
      <x:c r="A19" s="29"/>
      <x:c r="B19" s="29"/>
      <x:c r="C19" s="29"/>
      <x:c r="D19" s="29"/>
      <x:c r="E19" s="39"/>
      <x:c r="F19" s="29"/>
      <x:c r="G19" s="29"/>
      <x:c r="H19" s="29"/>
      <x:c r="I19" s="29"/>
      <x:c r="J19" s="29"/>
      <x:c r="K19" s="29"/>
      <x:c r="L19" s="29"/>
      <x:c r="M19" s="29"/>
      <x:c r="N19" s="29"/>
      <x:c r="O19" s="29"/>
      <x:c r="P19" s="29"/>
      <x:c r="Q19" s="29"/>
      <x:c r="R19" s="29"/>
      <x:c r="S19" s="29"/>
      <x:c r="T19" s="29"/>
      <x:c r="U19" s="29"/>
      <x:c r="V19" s="37" t="str">
        <x:f>IF(H19="","",IF(AND(F19&lt;&gt;"",K19="已写入",Q19&lt;&gt;"",R19&lt;&gt;"",S19&lt;&gt;""),"可分析","待补充"))</x:f>
      </x:c>
    </x:row>
    <x:row r="20" ht="32" customHeight="1">
      <x:c r="A20" s="29"/>
      <x:c r="B20" s="29"/>
      <x:c r="C20" s="29"/>
      <x:c r="D20" s="29"/>
      <x:c r="E20" s="39"/>
      <x:c r="F20" s="29"/>
      <x:c r="G20" s="29"/>
      <x:c r="H20" s="29"/>
      <x:c r="I20" s="29"/>
      <x:c r="J20" s="29"/>
      <x:c r="K20" s="29"/>
      <x:c r="L20" s="29"/>
      <x:c r="M20" s="29"/>
      <x:c r="N20" s="29"/>
      <x:c r="O20" s="29"/>
      <x:c r="P20" s="29"/>
      <x:c r="Q20" s="29"/>
      <x:c r="R20" s="29"/>
      <x:c r="S20" s="29"/>
      <x:c r="T20" s="29"/>
      <x:c r="U20" s="29"/>
      <x:c r="V20" s="37" t="str">
        <x:f>IF(H20="","",IF(AND(F20&lt;&gt;"",K20="已写入",Q20&lt;&gt;"",R20&lt;&gt;"",S20&lt;&gt;""),"可分析","待补充"))</x:f>
      </x:c>
    </x:row>
    <x:row r="21" ht="32" customHeight="1">
      <x:c r="A21" s="29"/>
      <x:c r="B21" s="29"/>
      <x:c r="C21" s="29"/>
      <x:c r="D21" s="29"/>
      <x:c r="E21" s="39"/>
      <x:c r="F21" s="29"/>
      <x:c r="G21" s="29"/>
      <x:c r="H21" s="29"/>
      <x:c r="I21" s="29"/>
      <x:c r="J21" s="29"/>
      <x:c r="K21" s="29"/>
      <x:c r="L21" s="29"/>
      <x:c r="M21" s="29"/>
      <x:c r="N21" s="29"/>
      <x:c r="O21" s="29"/>
      <x:c r="P21" s="29"/>
      <x:c r="Q21" s="29"/>
      <x:c r="R21" s="29"/>
      <x:c r="S21" s="29"/>
      <x:c r="T21" s="29"/>
      <x:c r="U21" s="29"/>
      <x:c r="V21" s="37" t="str">
        <x:f>IF(H21="","",IF(AND(F21&lt;&gt;"",K21="已写入",Q21&lt;&gt;"",R21&lt;&gt;"",S21&lt;&gt;""),"可分析","待补充"))</x:f>
      </x:c>
    </x:row>
    <x:row r="22" ht="32" customHeight="1">
      <x:c r="A22" s="29"/>
      <x:c r="B22" s="29"/>
      <x:c r="C22" s="29"/>
      <x:c r="D22" s="29"/>
      <x:c r="E22" s="39"/>
      <x:c r="F22" s="29"/>
      <x:c r="G22" s="29"/>
      <x:c r="H22" s="29"/>
      <x:c r="I22" s="29"/>
      <x:c r="J22" s="29"/>
      <x:c r="K22" s="29"/>
      <x:c r="L22" s="29"/>
      <x:c r="M22" s="29"/>
      <x:c r="N22" s="29"/>
      <x:c r="O22" s="29"/>
      <x:c r="P22" s="29"/>
      <x:c r="Q22" s="29"/>
      <x:c r="R22" s="29"/>
      <x:c r="S22" s="29"/>
      <x:c r="T22" s="29"/>
      <x:c r="U22" s="29"/>
      <x:c r="V22" s="37" t="str">
        <x:f>IF(H22="","",IF(AND(F22&lt;&gt;"",K22="已写入",Q22&lt;&gt;"",R22&lt;&gt;"",S22&lt;&gt;""),"可分析","待补充"))</x:f>
      </x:c>
    </x:row>
    <x:row r="23" ht="32" customHeight="1">
      <x:c r="A23" s="29"/>
      <x:c r="B23" s="29"/>
      <x:c r="C23" s="29"/>
      <x:c r="D23" s="29"/>
      <x:c r="E23" s="39"/>
      <x:c r="F23" s="29"/>
      <x:c r="G23" s="29"/>
      <x:c r="H23" s="29"/>
      <x:c r="I23" s="29"/>
      <x:c r="J23" s="29"/>
      <x:c r="K23" s="29"/>
      <x:c r="L23" s="29"/>
      <x:c r="M23" s="29"/>
      <x:c r="N23" s="29"/>
      <x:c r="O23" s="29"/>
      <x:c r="P23" s="29"/>
      <x:c r="Q23" s="29"/>
      <x:c r="R23" s="29"/>
      <x:c r="S23" s="29"/>
      <x:c r="T23" s="29"/>
      <x:c r="U23" s="29"/>
      <x:c r="V23" s="37" t="str">
        <x:f>IF(H23="","",IF(AND(F23&lt;&gt;"",K23="已写入",Q23&lt;&gt;"",R23&lt;&gt;"",S23&lt;&gt;""),"可分析","待补充"))</x:f>
      </x:c>
    </x:row>
    <x:row r="24" ht="32" customHeight="1">
      <x:c r="A24" s="29"/>
      <x:c r="B24" s="29"/>
      <x:c r="C24" s="29"/>
      <x:c r="D24" s="29"/>
      <x:c r="E24" s="39"/>
      <x:c r="F24" s="29"/>
      <x:c r="G24" s="29"/>
      <x:c r="H24" s="29"/>
      <x:c r="I24" s="29"/>
      <x:c r="J24" s="29"/>
      <x:c r="K24" s="29"/>
      <x:c r="L24" s="29"/>
      <x:c r="M24" s="29"/>
      <x:c r="N24" s="29"/>
      <x:c r="O24" s="29"/>
      <x:c r="P24" s="29"/>
      <x:c r="Q24" s="29"/>
      <x:c r="R24" s="29"/>
      <x:c r="S24" s="29"/>
      <x:c r="T24" s="29"/>
      <x:c r="U24" s="29"/>
      <x:c r="V24" s="37" t="str">
        <x:f>IF(H24="","",IF(AND(F24&lt;&gt;"",K24="已写入",Q24&lt;&gt;"",R24&lt;&gt;"",S24&lt;&gt;""),"可分析","待补充"))</x:f>
      </x:c>
    </x:row>
    <x:row r="25" ht="32" customHeight="1">
      <x:c r="A25" s="29"/>
      <x:c r="B25" s="29"/>
      <x:c r="C25" s="29"/>
      <x:c r="D25" s="29"/>
      <x:c r="E25" s="39"/>
      <x:c r="F25" s="29"/>
      <x:c r="G25" s="29"/>
      <x:c r="H25" s="29"/>
      <x:c r="I25" s="29"/>
      <x:c r="J25" s="29"/>
      <x:c r="K25" s="29"/>
      <x:c r="L25" s="29"/>
      <x:c r="M25" s="29"/>
      <x:c r="N25" s="29"/>
      <x:c r="O25" s="29"/>
      <x:c r="P25" s="29"/>
      <x:c r="Q25" s="29"/>
      <x:c r="R25" s="29"/>
      <x:c r="S25" s="29"/>
      <x:c r="T25" s="29"/>
      <x:c r="U25" s="29"/>
      <x:c r="V25" s="37" t="str">
        <x:f>IF(H25="","",IF(AND(F25&lt;&gt;"",K25="已写入",Q25&lt;&gt;"",R25&lt;&gt;"",S25&lt;&gt;""),"可分析","待补充"))</x:f>
      </x:c>
    </x:row>
    <x:row r="26" ht="32" customHeight="1">
      <x:c r="A26" s="29"/>
      <x:c r="B26" s="29"/>
      <x:c r="C26" s="29"/>
      <x:c r="D26" s="29"/>
      <x:c r="E26" s="39"/>
      <x:c r="F26" s="29"/>
      <x:c r="G26" s="29"/>
      <x:c r="H26" s="29"/>
      <x:c r="I26" s="29"/>
      <x:c r="J26" s="29"/>
      <x:c r="K26" s="29"/>
      <x:c r="L26" s="29"/>
      <x:c r="M26" s="29"/>
      <x:c r="N26" s="29"/>
      <x:c r="O26" s="29"/>
      <x:c r="P26" s="29"/>
      <x:c r="Q26" s="29"/>
      <x:c r="R26" s="29"/>
      <x:c r="S26" s="29"/>
      <x:c r="T26" s="29"/>
      <x:c r="U26" s="29"/>
      <x:c r="V26" s="37" t="str">
        <x:f>IF(H26="","",IF(AND(F26&lt;&gt;"",K26="已写入",Q26&lt;&gt;"",R26&lt;&gt;"",S26&lt;&gt;""),"可分析","待补充"))</x:f>
      </x:c>
    </x:row>
    <x:row r="27" ht="32" customHeight="1">
      <x:c r="A27" s="29"/>
      <x:c r="B27" s="29"/>
      <x:c r="C27" s="29"/>
      <x:c r="D27" s="29"/>
      <x:c r="E27" s="39"/>
      <x:c r="F27" s="29"/>
      <x:c r="G27" s="29"/>
      <x:c r="H27" s="29"/>
      <x:c r="I27" s="29"/>
      <x:c r="J27" s="29"/>
      <x:c r="K27" s="29"/>
      <x:c r="L27" s="29"/>
      <x:c r="M27" s="29"/>
      <x:c r="N27" s="29"/>
      <x:c r="O27" s="29"/>
      <x:c r="P27" s="29"/>
      <x:c r="Q27" s="29"/>
      <x:c r="R27" s="29"/>
      <x:c r="S27" s="29"/>
      <x:c r="T27" s="29"/>
      <x:c r="U27" s="29"/>
      <x:c r="V27" s="37" t="str">
        <x:f>IF(H27="","",IF(AND(F27&lt;&gt;"",K27="已写入",Q27&lt;&gt;"",R27&lt;&gt;"",S27&lt;&gt;""),"可分析","待补充"))</x:f>
      </x:c>
    </x:row>
    <x:row r="28" ht="32" customHeight="1">
      <x:c r="A28" s="29"/>
      <x:c r="B28" s="29"/>
      <x:c r="C28" s="29"/>
      <x:c r="D28" s="29"/>
      <x:c r="E28" s="39"/>
      <x:c r="F28" s="29"/>
      <x:c r="G28" s="29"/>
      <x:c r="H28" s="29"/>
      <x:c r="I28" s="29"/>
      <x:c r="J28" s="29"/>
      <x:c r="K28" s="29"/>
      <x:c r="L28" s="29"/>
      <x:c r="M28" s="29"/>
      <x:c r="N28" s="29"/>
      <x:c r="O28" s="29"/>
      <x:c r="P28" s="29"/>
      <x:c r="Q28" s="29"/>
      <x:c r="R28" s="29"/>
      <x:c r="S28" s="29"/>
      <x:c r="T28" s="29"/>
      <x:c r="U28" s="29"/>
      <x:c r="V28" s="37" t="str">
        <x:f>IF(H28="","",IF(AND(F28&lt;&gt;"",K28="已写入",Q28&lt;&gt;"",R28&lt;&gt;"",S28&lt;&gt;""),"可分析","待补充"))</x:f>
      </x:c>
    </x:row>
    <x:row r="29" ht="32" customHeight="1">
      <x:c r="A29" s="29"/>
      <x:c r="B29" s="29"/>
      <x:c r="C29" s="29"/>
      <x:c r="D29" s="29"/>
      <x:c r="E29" s="39"/>
      <x:c r="F29" s="29"/>
      <x:c r="G29" s="29"/>
      <x:c r="H29" s="29"/>
      <x:c r="I29" s="29"/>
      <x:c r="J29" s="29"/>
      <x:c r="K29" s="29"/>
      <x:c r="L29" s="29"/>
      <x:c r="M29" s="29"/>
      <x:c r="N29" s="29"/>
      <x:c r="O29" s="29"/>
      <x:c r="P29" s="29"/>
      <x:c r="Q29" s="29"/>
      <x:c r="R29" s="29"/>
      <x:c r="S29" s="29"/>
      <x:c r="T29" s="29"/>
      <x:c r="U29" s="29"/>
      <x:c r="V29" s="37" t="str">
        <x:f>IF(H29="","",IF(AND(F29&lt;&gt;"",K29="已写入",Q29&lt;&gt;"",R29&lt;&gt;"",S29&lt;&gt;""),"可分析","待补充"))</x:f>
      </x:c>
    </x:row>
    <x:row r="30" ht="32" customHeight="1">
      <x:c r="A30" s="29"/>
      <x:c r="B30" s="29"/>
      <x:c r="C30" s="29"/>
      <x:c r="D30" s="29"/>
      <x:c r="E30" s="39"/>
      <x:c r="F30" s="29"/>
      <x:c r="G30" s="29"/>
      <x:c r="H30" s="29"/>
      <x:c r="I30" s="29"/>
      <x:c r="J30" s="29"/>
      <x:c r="K30" s="29"/>
      <x:c r="L30" s="29"/>
      <x:c r="M30" s="29"/>
      <x:c r="N30" s="29"/>
      <x:c r="O30" s="29"/>
      <x:c r="P30" s="29"/>
      <x:c r="Q30" s="29"/>
      <x:c r="R30" s="29"/>
      <x:c r="S30" s="29"/>
      <x:c r="T30" s="29"/>
      <x:c r="U30" s="29"/>
      <x:c r="V30" s="37" t="str">
        <x:f>IF(H30="","",IF(AND(F30&lt;&gt;"",K30="已写入",Q30&lt;&gt;"",R30&lt;&gt;"",S30&lt;&gt;""),"可分析","待补充"))</x:f>
      </x:c>
    </x:row>
    <x:row r="31" ht="32" customHeight="1">
      <x:c r="A31" s="29"/>
      <x:c r="B31" s="29"/>
      <x:c r="C31" s="29"/>
      <x:c r="D31" s="29"/>
      <x:c r="E31" s="39"/>
      <x:c r="F31" s="29"/>
      <x:c r="G31" s="29"/>
      <x:c r="H31" s="29"/>
      <x:c r="I31" s="29"/>
      <x:c r="J31" s="29"/>
      <x:c r="K31" s="29"/>
      <x:c r="L31" s="29"/>
      <x:c r="M31" s="29"/>
      <x:c r="N31" s="29"/>
      <x:c r="O31" s="29"/>
      <x:c r="P31" s="29"/>
      <x:c r="Q31" s="29"/>
      <x:c r="R31" s="29"/>
      <x:c r="S31" s="29"/>
      <x:c r="T31" s="29"/>
      <x:c r="U31" s="29"/>
      <x:c r="V31" s="37" t="str">
        <x:f>IF(H31="","",IF(AND(F31&lt;&gt;"",K31="已写入",Q31&lt;&gt;"",R31&lt;&gt;"",S31&lt;&gt;""),"可分析","待补充"))</x:f>
      </x:c>
    </x:row>
    <x:row r="32" ht="32" customHeight="1">
      <x:c r="A32" s="29"/>
      <x:c r="B32" s="29"/>
      <x:c r="C32" s="29"/>
      <x:c r="D32" s="29"/>
      <x:c r="E32" s="39"/>
      <x:c r="F32" s="29"/>
      <x:c r="G32" s="29"/>
      <x:c r="H32" s="29"/>
      <x:c r="I32" s="29"/>
      <x:c r="J32" s="29"/>
      <x:c r="K32" s="29"/>
      <x:c r="L32" s="29"/>
      <x:c r="M32" s="29"/>
      <x:c r="N32" s="29"/>
      <x:c r="O32" s="29"/>
      <x:c r="P32" s="29"/>
      <x:c r="Q32" s="29"/>
      <x:c r="R32" s="29"/>
      <x:c r="S32" s="29"/>
      <x:c r="T32" s="29"/>
      <x:c r="U32" s="29"/>
      <x:c r="V32" s="37" t="str">
        <x:f>IF(H32="","",IF(AND(F32&lt;&gt;"",K32="已写入",Q32&lt;&gt;"",R32&lt;&gt;"",S32&lt;&gt;""),"可分析","待补充"))</x:f>
      </x:c>
    </x:row>
    <x:row r="33" ht="32" customHeight="1">
      <x:c r="A33" s="29"/>
      <x:c r="B33" s="29"/>
      <x:c r="C33" s="29"/>
      <x:c r="D33" s="29"/>
      <x:c r="E33" s="39"/>
      <x:c r="F33" s="29"/>
      <x:c r="G33" s="29"/>
      <x:c r="H33" s="29"/>
      <x:c r="I33" s="29"/>
      <x:c r="J33" s="29"/>
      <x:c r="K33" s="29"/>
      <x:c r="L33" s="29"/>
      <x:c r="M33" s="29"/>
      <x:c r="N33" s="29"/>
      <x:c r="O33" s="29"/>
      <x:c r="P33" s="29"/>
      <x:c r="Q33" s="29"/>
      <x:c r="R33" s="29"/>
      <x:c r="S33" s="29"/>
      <x:c r="T33" s="29"/>
      <x:c r="U33" s="29"/>
      <x:c r="V33" s="37" t="str">
        <x:f>IF(H33="","",IF(AND(F33&lt;&gt;"",K33="已写入",Q33&lt;&gt;"",R33&lt;&gt;"",S33&lt;&gt;""),"可分析","待补充"))</x:f>
      </x:c>
    </x:row>
    <x:row r="34" ht="32" customHeight="1">
      <x:c r="A34" s="29"/>
      <x:c r="B34" s="29"/>
      <x:c r="C34" s="29"/>
      <x:c r="D34" s="29"/>
      <x:c r="E34" s="39"/>
      <x:c r="F34" s="29"/>
      <x:c r="G34" s="29"/>
      <x:c r="H34" s="29"/>
      <x:c r="I34" s="29"/>
      <x:c r="J34" s="29"/>
      <x:c r="K34" s="29"/>
      <x:c r="L34" s="29"/>
      <x:c r="M34" s="29"/>
      <x:c r="N34" s="29"/>
      <x:c r="O34" s="29"/>
      <x:c r="P34" s="29"/>
      <x:c r="Q34" s="29"/>
      <x:c r="R34" s="29"/>
      <x:c r="S34" s="29"/>
      <x:c r="T34" s="29"/>
      <x:c r="U34" s="29"/>
      <x:c r="V34" s="37" t="str">
        <x:f>IF(H34="","",IF(AND(F34&lt;&gt;"",K34="已写入",Q34&lt;&gt;"",R34&lt;&gt;"",S34&lt;&gt;""),"可分析","待补充"))</x:f>
      </x:c>
    </x:row>
    <x:row r="35" ht="32" customHeight="1">
      <x:c r="A35" s="29"/>
      <x:c r="B35" s="29"/>
      <x:c r="C35" s="29"/>
      <x:c r="D35" s="29"/>
      <x:c r="E35" s="39"/>
      <x:c r="F35" s="29"/>
      <x:c r="G35" s="29"/>
      <x:c r="H35" s="29"/>
      <x:c r="I35" s="29"/>
      <x:c r="J35" s="29"/>
      <x:c r="K35" s="29"/>
      <x:c r="L35" s="29"/>
      <x:c r="M35" s="29"/>
      <x:c r="N35" s="29"/>
      <x:c r="O35" s="29"/>
      <x:c r="P35" s="29"/>
      <x:c r="Q35" s="29"/>
      <x:c r="R35" s="29"/>
      <x:c r="S35" s="29"/>
      <x:c r="T35" s="29"/>
      <x:c r="U35" s="29"/>
      <x:c r="V35" s="37" t="str">
        <x:f>IF(H35="","",IF(AND(F35&lt;&gt;"",K35="已写入",Q35&lt;&gt;"",R35&lt;&gt;"",S35&lt;&gt;""),"可分析","待补充"))</x:f>
      </x:c>
    </x:row>
    <x:row r="36" ht="32" customHeight="1">
      <x:c r="A36" s="29"/>
      <x:c r="B36" s="29"/>
      <x:c r="C36" s="29"/>
      <x:c r="D36" s="29"/>
      <x:c r="E36" s="39"/>
      <x:c r="F36" s="29"/>
      <x:c r="G36" s="29"/>
      <x:c r="H36" s="29"/>
      <x:c r="I36" s="29"/>
      <x:c r="J36" s="29"/>
      <x:c r="K36" s="29"/>
      <x:c r="L36" s="29"/>
      <x:c r="M36" s="29"/>
      <x:c r="N36" s="29"/>
      <x:c r="O36" s="29"/>
      <x:c r="P36" s="29"/>
      <x:c r="Q36" s="29"/>
      <x:c r="R36" s="29"/>
      <x:c r="S36" s="29"/>
      <x:c r="T36" s="29"/>
      <x:c r="U36" s="29"/>
      <x:c r="V36" s="37" t="str">
        <x:f>IF(H36="","",IF(AND(F36&lt;&gt;"",K36="已写入",Q36&lt;&gt;"",R36&lt;&gt;"",S36&lt;&gt;""),"可分析","待补充"))</x:f>
      </x:c>
    </x:row>
    <x:row r="37" ht="32" customHeight="1">
      <x:c r="A37" s="29"/>
      <x:c r="B37" s="29"/>
      <x:c r="C37" s="29"/>
      <x:c r="D37" s="29"/>
      <x:c r="E37" s="39"/>
      <x:c r="F37" s="29"/>
      <x:c r="G37" s="29"/>
      <x:c r="H37" s="29"/>
      <x:c r="I37" s="29"/>
      <x:c r="J37" s="29"/>
      <x:c r="K37" s="29"/>
      <x:c r="L37" s="29"/>
      <x:c r="M37" s="29"/>
      <x:c r="N37" s="29"/>
      <x:c r="O37" s="29"/>
      <x:c r="P37" s="29"/>
      <x:c r="Q37" s="29"/>
      <x:c r="R37" s="29"/>
      <x:c r="S37" s="29"/>
      <x:c r="T37" s="29"/>
      <x:c r="U37" s="29"/>
      <x:c r="V37" s="37" t="str">
        <x:f>IF(H37="","",IF(AND(F37&lt;&gt;"",K37="已写入",Q37&lt;&gt;"",R37&lt;&gt;"",S37&lt;&gt;""),"可分析","待补充"))</x:f>
      </x:c>
    </x:row>
    <x:row r="38" ht="32" customHeight="1">
      <x:c r="A38" s="29"/>
      <x:c r="B38" s="29"/>
      <x:c r="C38" s="29"/>
      <x:c r="D38" s="29"/>
      <x:c r="E38" s="39"/>
      <x:c r="F38" s="29"/>
      <x:c r="G38" s="29"/>
      <x:c r="H38" s="29"/>
      <x:c r="I38" s="29"/>
      <x:c r="J38" s="29"/>
      <x:c r="K38" s="29"/>
      <x:c r="L38" s="29"/>
      <x:c r="M38" s="29"/>
      <x:c r="N38" s="29"/>
      <x:c r="O38" s="29"/>
      <x:c r="P38" s="29"/>
      <x:c r="Q38" s="29"/>
      <x:c r="R38" s="29"/>
      <x:c r="S38" s="29"/>
      <x:c r="T38" s="29"/>
      <x:c r="U38" s="29"/>
      <x:c r="V38" s="37" t="str">
        <x:f>IF(H38="","",IF(AND(F38&lt;&gt;"",K38="已写入",Q38&lt;&gt;"",R38&lt;&gt;"",S38&lt;&gt;""),"可分析","待补充"))</x:f>
      </x:c>
    </x:row>
    <x:row r="39" ht="32" customHeight="1">
      <x:c r="A39" s="29"/>
      <x:c r="B39" s="29"/>
      <x:c r="C39" s="29"/>
      <x:c r="D39" s="29"/>
      <x:c r="E39" s="39"/>
      <x:c r="F39" s="29"/>
      <x:c r="G39" s="29"/>
      <x:c r="H39" s="29"/>
      <x:c r="I39" s="29"/>
      <x:c r="J39" s="29"/>
      <x:c r="K39" s="29"/>
      <x:c r="L39" s="29"/>
      <x:c r="M39" s="29"/>
      <x:c r="N39" s="29"/>
      <x:c r="O39" s="29"/>
      <x:c r="P39" s="29"/>
      <x:c r="Q39" s="29"/>
      <x:c r="R39" s="29"/>
      <x:c r="S39" s="29"/>
      <x:c r="T39" s="29"/>
      <x:c r="U39" s="29"/>
      <x:c r="V39" s="37" t="str">
        <x:f>IF(H39="","",IF(AND(F39&lt;&gt;"",K39="已写入",Q39&lt;&gt;"",R39&lt;&gt;"",S39&lt;&gt;""),"可分析","待补充"))</x:f>
      </x:c>
    </x:row>
    <x:row r="40" ht="32" customHeight="1">
      <x:c r="A40" s="29"/>
      <x:c r="B40" s="29"/>
      <x:c r="C40" s="29"/>
      <x:c r="D40" s="29"/>
      <x:c r="E40" s="39"/>
      <x:c r="F40" s="29"/>
      <x:c r="G40" s="29"/>
      <x:c r="H40" s="29"/>
      <x:c r="I40" s="29"/>
      <x:c r="J40" s="29"/>
      <x:c r="K40" s="29"/>
      <x:c r="L40" s="29"/>
      <x:c r="M40" s="29"/>
      <x:c r="N40" s="29"/>
      <x:c r="O40" s="29"/>
      <x:c r="P40" s="29"/>
      <x:c r="Q40" s="29"/>
      <x:c r="R40" s="29"/>
      <x:c r="S40" s="29"/>
      <x:c r="T40" s="29"/>
      <x:c r="U40" s="29"/>
      <x:c r="V40" s="37" t="str">
        <x:f>IF(H40="","",IF(AND(F40&lt;&gt;"",K40="已写入",Q40&lt;&gt;"",R40&lt;&gt;"",S40&lt;&gt;""),"可分析","待补充"))</x:f>
      </x:c>
    </x:row>
    <x:row r="41" ht="32" customHeight="1">
      <x:c r="A41" s="29"/>
      <x:c r="B41" s="29"/>
      <x:c r="C41" s="29"/>
      <x:c r="D41" s="29"/>
      <x:c r="E41" s="39"/>
      <x:c r="F41" s="29"/>
      <x:c r="G41" s="29"/>
      <x:c r="H41" s="29"/>
      <x:c r="I41" s="29"/>
      <x:c r="J41" s="29"/>
      <x:c r="K41" s="29"/>
      <x:c r="L41" s="29"/>
      <x:c r="M41" s="29"/>
      <x:c r="N41" s="29"/>
      <x:c r="O41" s="29"/>
      <x:c r="P41" s="29"/>
      <x:c r="Q41" s="29"/>
      <x:c r="R41" s="29"/>
      <x:c r="S41" s="29"/>
      <x:c r="T41" s="29"/>
      <x:c r="U41" s="29"/>
      <x:c r="V41" s="37" t="str">
        <x:f>IF(H41="","",IF(AND(F41&lt;&gt;"",K41="已写入",Q41&lt;&gt;"",R41&lt;&gt;"",S41&lt;&gt;""),"可分析","待补充"))</x:f>
      </x:c>
    </x:row>
    <x:row r="42" ht="32" customHeight="1">
      <x:c r="A42" s="29"/>
      <x:c r="B42" s="29"/>
      <x:c r="C42" s="29"/>
      <x:c r="D42" s="29"/>
      <x:c r="E42" s="39"/>
      <x:c r="F42" s="29"/>
      <x:c r="G42" s="29"/>
      <x:c r="H42" s="29"/>
      <x:c r="I42" s="29"/>
      <x:c r="J42" s="29"/>
      <x:c r="K42" s="29"/>
      <x:c r="L42" s="29"/>
      <x:c r="M42" s="29"/>
      <x:c r="N42" s="29"/>
      <x:c r="O42" s="29"/>
      <x:c r="P42" s="29"/>
      <x:c r="Q42" s="29"/>
      <x:c r="R42" s="29"/>
      <x:c r="S42" s="29"/>
      <x:c r="T42" s="29"/>
      <x:c r="U42" s="29"/>
      <x:c r="V42" s="37" t="str">
        <x:f>IF(H42="","",IF(AND(F42&lt;&gt;"",K42="已写入",Q42&lt;&gt;"",R42&lt;&gt;"",S42&lt;&gt;""),"可分析","待补充"))</x:f>
      </x:c>
    </x:row>
    <x:row r="43" ht="32" customHeight="1">
      <x:c r="A43" s="29"/>
      <x:c r="B43" s="29"/>
      <x:c r="C43" s="29"/>
      <x:c r="D43" s="29"/>
      <x:c r="E43" s="39"/>
      <x:c r="F43" s="29"/>
      <x:c r="G43" s="29"/>
      <x:c r="H43" s="29"/>
      <x:c r="I43" s="29"/>
      <x:c r="J43" s="29"/>
      <x:c r="K43" s="29"/>
      <x:c r="L43" s="29"/>
      <x:c r="M43" s="29"/>
      <x:c r="N43" s="29"/>
      <x:c r="O43" s="29"/>
      <x:c r="P43" s="29"/>
      <x:c r="Q43" s="29"/>
      <x:c r="R43" s="29"/>
      <x:c r="S43" s="29"/>
      <x:c r="T43" s="29"/>
      <x:c r="U43" s="29"/>
      <x:c r="V43" s="37" t="str">
        <x:f>IF(H43="","",IF(AND(F43&lt;&gt;"",K43="已写入",Q43&lt;&gt;"",R43&lt;&gt;"",S43&lt;&gt;""),"可分析","待补充"))</x:f>
      </x:c>
    </x:row>
    <x:row r="44" ht="32" customHeight="1">
      <x:c r="A44" s="29"/>
      <x:c r="B44" s="29"/>
      <x:c r="C44" s="29"/>
      <x:c r="D44" s="29"/>
      <x:c r="E44" s="39"/>
      <x:c r="F44" s="29"/>
      <x:c r="G44" s="29"/>
      <x:c r="H44" s="29"/>
      <x:c r="I44" s="29"/>
      <x:c r="J44" s="29"/>
      <x:c r="K44" s="29"/>
      <x:c r="L44" s="29"/>
      <x:c r="M44" s="29"/>
      <x:c r="N44" s="29"/>
      <x:c r="O44" s="29"/>
      <x:c r="P44" s="29"/>
      <x:c r="Q44" s="29"/>
      <x:c r="R44" s="29"/>
      <x:c r="S44" s="29"/>
      <x:c r="T44" s="29"/>
      <x:c r="U44" s="29"/>
      <x:c r="V44" s="37" t="str">
        <x:f>IF(H44="","",IF(AND(F44&lt;&gt;"",K44="已写入",Q44&lt;&gt;"",R44&lt;&gt;"",S44&lt;&gt;""),"可分析","待补充"))</x:f>
      </x:c>
    </x:row>
    <x:row r="45" ht="32" customHeight="1">
      <x:c r="A45" s="29"/>
      <x:c r="B45" s="29"/>
      <x:c r="C45" s="29"/>
      <x:c r="D45" s="29"/>
      <x:c r="E45" s="39"/>
      <x:c r="F45" s="29"/>
      <x:c r="G45" s="29"/>
      <x:c r="H45" s="29"/>
      <x:c r="I45" s="29"/>
      <x:c r="J45" s="29"/>
      <x:c r="K45" s="29"/>
      <x:c r="L45" s="29"/>
      <x:c r="M45" s="29"/>
      <x:c r="N45" s="29"/>
      <x:c r="O45" s="29"/>
      <x:c r="P45" s="29"/>
      <x:c r="Q45" s="29"/>
      <x:c r="R45" s="29"/>
      <x:c r="S45" s="29"/>
      <x:c r="T45" s="29"/>
      <x:c r="U45" s="29"/>
      <x:c r="V45" s="37" t="str">
        <x:f>IF(H45="","",IF(AND(F45&lt;&gt;"",K45="已写入",Q45&lt;&gt;"",R45&lt;&gt;"",S45&lt;&gt;""),"可分析","待补充"))</x:f>
      </x:c>
    </x:row>
    <x:row r="46" ht="32" customHeight="1">
      <x:c r="A46" s="29"/>
      <x:c r="B46" s="29"/>
      <x:c r="C46" s="29"/>
      <x:c r="D46" s="29"/>
      <x:c r="E46" s="39"/>
      <x:c r="F46" s="29"/>
      <x:c r="G46" s="29"/>
      <x:c r="H46" s="29"/>
      <x:c r="I46" s="29"/>
      <x:c r="J46" s="29"/>
      <x:c r="K46" s="29"/>
      <x:c r="L46" s="29"/>
      <x:c r="M46" s="29"/>
      <x:c r="N46" s="29"/>
      <x:c r="O46" s="29"/>
      <x:c r="P46" s="29"/>
      <x:c r="Q46" s="29"/>
      <x:c r="R46" s="29"/>
      <x:c r="S46" s="29"/>
      <x:c r="T46" s="29"/>
      <x:c r="U46" s="29"/>
      <x:c r="V46" s="37" t="str">
        <x:f>IF(H46="","",IF(AND(F46&lt;&gt;"",K46="已写入",Q46&lt;&gt;"",R46&lt;&gt;"",S46&lt;&gt;""),"可分析","待补充"))</x:f>
      </x:c>
    </x:row>
    <x:row r="47" ht="32" customHeight="1">
      <x:c r="A47" s="29"/>
      <x:c r="B47" s="29"/>
      <x:c r="C47" s="29"/>
      <x:c r="D47" s="29"/>
      <x:c r="E47" s="39"/>
      <x:c r="F47" s="29"/>
      <x:c r="G47" s="29"/>
      <x:c r="H47" s="29"/>
      <x:c r="I47" s="29"/>
      <x:c r="J47" s="29"/>
      <x:c r="K47" s="29"/>
      <x:c r="L47" s="29"/>
      <x:c r="M47" s="29"/>
      <x:c r="N47" s="29"/>
      <x:c r="O47" s="29"/>
      <x:c r="P47" s="29"/>
      <x:c r="Q47" s="29"/>
      <x:c r="R47" s="29"/>
      <x:c r="S47" s="29"/>
      <x:c r="T47" s="29"/>
      <x:c r="U47" s="29"/>
      <x:c r="V47" s="37" t="str">
        <x:f>IF(H47="","",IF(AND(F47&lt;&gt;"",K47="已写入",Q47&lt;&gt;"",R47&lt;&gt;"",S47&lt;&gt;""),"可分析","待补充"))</x:f>
      </x:c>
    </x:row>
    <x:row r="48" ht="32" customHeight="1">
      <x:c r="A48" s="29"/>
      <x:c r="B48" s="29"/>
      <x:c r="C48" s="29"/>
      <x:c r="D48" s="29"/>
      <x:c r="E48" s="39"/>
      <x:c r="F48" s="29"/>
      <x:c r="G48" s="29"/>
      <x:c r="H48" s="29"/>
      <x:c r="I48" s="29"/>
      <x:c r="J48" s="29"/>
      <x:c r="K48" s="29"/>
      <x:c r="L48" s="29"/>
      <x:c r="M48" s="29"/>
      <x:c r="N48" s="29"/>
      <x:c r="O48" s="29"/>
      <x:c r="P48" s="29"/>
      <x:c r="Q48" s="29"/>
      <x:c r="R48" s="29"/>
      <x:c r="S48" s="29"/>
      <x:c r="T48" s="29"/>
      <x:c r="U48" s="29"/>
      <x:c r="V48" s="37" t="str">
        <x:f>IF(H48="","",IF(AND(F48&lt;&gt;"",K48="已写入",Q48&lt;&gt;"",R48&lt;&gt;"",S48&lt;&gt;""),"可分析","待补充"))</x:f>
      </x:c>
    </x:row>
    <x:row r="49" ht="32" customHeight="1">
      <x:c r="A49" s="29"/>
      <x:c r="B49" s="29"/>
      <x:c r="C49" s="29"/>
      <x:c r="D49" s="29"/>
      <x:c r="E49" s="39"/>
      <x:c r="F49" s="29"/>
      <x:c r="G49" s="29"/>
      <x:c r="H49" s="29"/>
      <x:c r="I49" s="29"/>
      <x:c r="J49" s="29"/>
      <x:c r="K49" s="29"/>
      <x:c r="L49" s="29"/>
      <x:c r="M49" s="29"/>
      <x:c r="N49" s="29"/>
      <x:c r="O49" s="29"/>
      <x:c r="P49" s="29"/>
      <x:c r="Q49" s="29"/>
      <x:c r="R49" s="29"/>
      <x:c r="S49" s="29"/>
      <x:c r="T49" s="29"/>
      <x:c r="U49" s="29"/>
      <x:c r="V49" s="37" t="str">
        <x:f>IF(H49="","",IF(AND(F49&lt;&gt;"",K49="已写入",Q49&lt;&gt;"",R49&lt;&gt;"",S49&lt;&gt;""),"可分析","待补充"))</x:f>
      </x:c>
    </x:row>
    <x:row r="50" ht="32" customHeight="1">
      <x:c r="A50" s="29"/>
      <x:c r="B50" s="29"/>
      <x:c r="C50" s="29"/>
      <x:c r="D50" s="29"/>
      <x:c r="E50" s="39"/>
      <x:c r="F50" s="29"/>
      <x:c r="G50" s="29"/>
      <x:c r="H50" s="29"/>
      <x:c r="I50" s="29"/>
      <x:c r="J50" s="29"/>
      <x:c r="K50" s="29"/>
      <x:c r="L50" s="29"/>
      <x:c r="M50" s="29"/>
      <x:c r="N50" s="29"/>
      <x:c r="O50" s="29"/>
      <x:c r="P50" s="29"/>
      <x:c r="Q50" s="29"/>
      <x:c r="R50" s="29"/>
      <x:c r="S50" s="29"/>
      <x:c r="T50" s="29"/>
      <x:c r="U50" s="29"/>
      <x:c r="V50" s="37" t="str">
        <x:f>IF(H50="","",IF(AND(F50&lt;&gt;"",K50="已写入",Q50&lt;&gt;"",R50&lt;&gt;"",S50&lt;&gt;""),"可分析","待补充"))</x:f>
      </x:c>
    </x:row>
    <x:row r="51" ht="32" customHeight="1">
      <x:c r="A51" s="29"/>
      <x:c r="B51" s="29"/>
      <x:c r="C51" s="29"/>
      <x:c r="D51" s="29"/>
      <x:c r="E51" s="39"/>
      <x:c r="F51" s="29"/>
      <x:c r="G51" s="29"/>
      <x:c r="H51" s="29"/>
      <x:c r="I51" s="29"/>
      <x:c r="J51" s="29"/>
      <x:c r="K51" s="29"/>
      <x:c r="L51" s="29"/>
      <x:c r="M51" s="29"/>
      <x:c r="N51" s="29"/>
      <x:c r="O51" s="29"/>
      <x:c r="P51" s="29"/>
      <x:c r="Q51" s="29"/>
      <x:c r="R51" s="29"/>
      <x:c r="S51" s="29"/>
      <x:c r="T51" s="29"/>
      <x:c r="U51" s="29"/>
      <x:c r="V51" s="37" t="str">
        <x:f>IF(H51="","",IF(AND(F51&lt;&gt;"",K51="已写入",Q51&lt;&gt;"",R51&lt;&gt;"",S51&lt;&gt;""),"可分析","待补充"))</x:f>
      </x:c>
    </x:row>
    <x:row r="52" ht="32" customHeight="1">
      <x:c r="A52" s="29"/>
      <x:c r="B52" s="29"/>
      <x:c r="C52" s="29"/>
      <x:c r="D52" s="29"/>
      <x:c r="E52" s="39"/>
      <x:c r="F52" s="29"/>
      <x:c r="G52" s="29"/>
      <x:c r="H52" s="29"/>
      <x:c r="I52" s="29"/>
      <x:c r="J52" s="29"/>
      <x:c r="K52" s="29"/>
      <x:c r="L52" s="29"/>
      <x:c r="M52" s="29"/>
      <x:c r="N52" s="29"/>
      <x:c r="O52" s="29"/>
      <x:c r="P52" s="29"/>
      <x:c r="Q52" s="29"/>
      <x:c r="R52" s="29"/>
      <x:c r="S52" s="29"/>
      <x:c r="T52" s="29"/>
      <x:c r="U52" s="29"/>
      <x:c r="V52" s="37" t="str">
        <x:f>IF(H52="","",IF(AND(F52&lt;&gt;"",K52="已写入",Q52&lt;&gt;"",R52&lt;&gt;"",S52&lt;&gt;""),"可分析","待补充"))</x:f>
      </x:c>
    </x:row>
    <x:row r="53" ht="32" customHeight="1">
      <x:c r="A53" s="29"/>
      <x:c r="B53" s="29"/>
      <x:c r="C53" s="29"/>
      <x:c r="D53" s="29"/>
      <x:c r="E53" s="39"/>
      <x:c r="F53" s="29"/>
      <x:c r="G53" s="29"/>
      <x:c r="H53" s="29"/>
      <x:c r="I53" s="29"/>
      <x:c r="J53" s="29"/>
      <x:c r="K53" s="29"/>
      <x:c r="L53" s="29"/>
      <x:c r="M53" s="29"/>
      <x:c r="N53" s="29"/>
      <x:c r="O53" s="29"/>
      <x:c r="P53" s="29"/>
      <x:c r="Q53" s="29"/>
      <x:c r="R53" s="29"/>
      <x:c r="S53" s="29"/>
      <x:c r="T53" s="29"/>
      <x:c r="U53" s="29"/>
      <x:c r="V53" s="37" t="str">
        <x:f>IF(H53="","",IF(AND(F53&lt;&gt;"",K53="已写入",Q53&lt;&gt;"",R53&lt;&gt;"",S53&lt;&gt;""),"可分析","待补充"))</x:f>
      </x:c>
    </x:row>
    <x:row r="54" ht="32" customHeight="1">
      <x:c r="A54" s="29"/>
      <x:c r="B54" s="29"/>
      <x:c r="C54" s="29"/>
      <x:c r="D54" s="29"/>
      <x:c r="E54" s="39"/>
      <x:c r="F54" s="29"/>
      <x:c r="G54" s="29"/>
      <x:c r="H54" s="29"/>
      <x:c r="I54" s="29"/>
      <x:c r="J54" s="29"/>
      <x:c r="K54" s="29"/>
      <x:c r="L54" s="29"/>
      <x:c r="M54" s="29"/>
      <x:c r="N54" s="29"/>
      <x:c r="O54" s="29"/>
      <x:c r="P54" s="29"/>
      <x:c r="Q54" s="29"/>
      <x:c r="R54" s="29"/>
      <x:c r="S54" s="29"/>
      <x:c r="T54" s="29"/>
      <x:c r="U54" s="29"/>
      <x:c r="V54" s="37" t="str">
        <x:f>IF(H54="","",IF(AND(F54&lt;&gt;"",K54="已写入",Q54&lt;&gt;"",R54&lt;&gt;"",S54&lt;&gt;""),"可分析","待补充"))</x:f>
      </x:c>
    </x:row>
  </x:sheetData>
  <x:mergeCells>
    <x:mergeCell ref="A1:V1"/>
    <x:mergeCell ref="A2:V2"/>
  </x:mergeCells>
  <x:conditionalFormatting sqref="V5:V54">
    <x:cfRule type="containsText" dxfId="9" priority="1" operator="containsText" text="可追溯"/>
    <x:cfRule type="containsText" dxfId="10" priority="2" operator="containsText" text="可分析"/>
    <x:cfRule type="containsText" dxfId="11" priority="3" operator="containsText" text="待补充"/>
  </x:conditionalFormatting>
  <x:dataValidations count="5">
    <x:dataValidation type="list" sqref="I5:I54">
      <x:formula1>"U+（正向）,U-（负向）,基本关联,未判定"</x:formula1>
    </x:dataValidation>
    <x:dataValidation type="list" sqref="J5:J54">
      <x:formula1>"否,是"</x:formula1>
    </x:dataValidation>
    <x:dataValidation type="list" sqref="K5:K54">
      <x:formula1>"待写入,已写入,写入失败,待确认"</x:formula1>
    </x:dataValidation>
    <x:dataValidation type="list" sqref="M5:M54">
      <x:formula1>"是,否,待确认"</x:formula1>
    </x:dataValidation>
    <x:dataValidation type="list" sqref="S5:S54">
      <x:formula1>"缩小 Gap,扩大 Gap,无明显变化,产生新 Gap,未判定"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c76b01ebad6474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5" hidden="0" customWidth="1"/>
    <x:col min="3" max="3" width="13" hidden="0" customWidth="1"/>
    <x:col min="4" max="4" width="22" hidden="0" customWidth="1"/>
    <x:col min="5" max="5" width="15" hidden="0" customWidth="1"/>
    <x:col min="6" max="6" width="15" hidden="0" customWidth="1"/>
    <x:col min="7" max="7" width="14" hidden="0" customWidth="1"/>
    <x:col min="8" max="8" width="15" hidden="0" customWidth="1"/>
    <x:col min="9" max="9" width="28" hidden="0" customWidth="1"/>
    <x:col min="10" max="10" width="28" hidden="0" customWidth="1"/>
    <x:col min="11" max="11" width="30" hidden="0" customWidth="1"/>
    <x:col min="12" max="12" width="30" hidden="0" customWidth="1"/>
    <x:col min="13" max="13" width="32" hidden="0" customWidth="1"/>
    <x:col min="14" max="14" width="32" hidden="0" customWidth="1"/>
    <x:col min="15" max="15" width="15" hidden="0" customWidth="1"/>
    <x:col min="16" max="16" width="17" hidden="0" customWidth="1"/>
    <x:col min="17" max="17" width="14" hidden="0" customWidth="1"/>
    <x:col min="18" max="18" width="16" hidden="0" customWidth="1"/>
    <x:col min="19" max="19" width="30" hidden="0" customWidth="1"/>
    <x:col min="20" max="20" width="16" hidden="0" customWidth="1"/>
    <x:col min="21" max="21" width="34" hidden="0" customWidth="1"/>
    <x:col min="22" max="22" width="30" hidden="0" customWidth="1"/>
    <x:col min="23" max="23" width="30" hidden="0" customWidth="1"/>
    <x:col min="24" max="24" width="14" hidden="0" customWidth="1"/>
  </x:cols>
  <x:sheetData>
    <x:row r="1" ht="34" customHeight="1">
      <x:c r="A1" s="4" t="str">
        <x:v>同一起始存档的对照实验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</x:row>
    <x:row r="2" ht="30" customHeight="1">
      <x:c r="A2" s="8" t="str">
        <x:v>固定 U0 版本与起始存档修订。对照运行不投递该观察，干预运行投递该观察；其余条件尽量一致。Gap 评分：1=轻微，5=严重。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T2" s="8"/>
      <x:c r="U2" s="8"/>
      <x:c r="V2" s="8"/>
      <x:c r="W2" s="8"/>
      <x:c r="X2" s="8"/>
    </x:row>
    <x:row r="4" ht="36" customHeight="1">
      <x:c r="A4" s="14" t="str">
        <x:v>实验编号</x:v>
      </x:c>
      <x:c r="B4" s="14" t="str">
        <x:v>对照对 ID</x:v>
      </x:c>
      <x:c r="C4" s="14" t="str">
        <x:v>当前版本</x:v>
      </x:c>
      <x:c r="D4" s="14" t="str">
        <x:v>起始存档修订（固定）</x:v>
      </x:c>
      <x:c r="E4" s="14" t="str">
        <x:v>对照运行 ID</x:v>
      </x:c>
      <x:c r="F4" s="14" t="str">
        <x:v>干预运行 ID</x:v>
      </x:c>
      <x:c r="G4" s="14" t="str">
        <x:v>目标居民</x:v>
      </x:c>
      <x:c r="H4" s="14" t="str">
        <x:v>观察 ID</x:v>
      </x:c>
      <x:c r="I4" s="14" t="str">
        <x:v>对照条件说明</x:v>
      </x:c>
      <x:c r="J4" s="14" t="str">
        <x:v>干预条件说明</x:v>
      </x:c>
      <x:c r="K4" s="14" t="str">
        <x:v>对照行为</x:v>
      </x:c>
      <x:c r="L4" s="14" t="str">
        <x:v>干预行为</x:v>
      </x:c>
      <x:c r="M4" s="14" t="str">
        <x:v>对照世界结果</x:v>
      </x:c>
      <x:c r="N4" s="14" t="str">
        <x:v>干预世界结果</x:v>
      </x:c>
      <x:c r="O4" s="14" t="str">
        <x:v>Gap 基线评分</x:v>
      </x:c>
      <x:c r="P4" s="14" t="str">
        <x:v>Gap 干预后评分</x:v>
      </x:c>
      <x:c r="Q4" s="14" t="str">
        <x:v>Gap 减少值</x:v>
      </x:c>
      <x:c r="R4" s="14" t="str">
        <x:v>Gap 是否减少</x:v>
      </x:c>
      <x:c r="S4" s="14" t="str">
        <x:v>新暴露的 Gap</x:v>
      </x:c>
      <x:c r="T4" s="14" t="str">
        <x:v>人工判定</x:v>
      </x:c>
      <x:c r="U4" s="14" t="str">
        <x:v>判定依据</x:v>
      </x:c>
      <x:c r="V4" s="14" t="str">
        <x:v>对照证据链接</x:v>
      </x:c>
      <x:c r="W4" s="14" t="str">
        <x:v>干预证据链接</x:v>
      </x:c>
      <x:c r="X4" s="14" t="str">
        <x:v>完成状态</x:v>
      </x:c>
    </x:row>
    <x:row r="5" ht="32" customHeight="1">
      <x:c r="A5" s="19"/>
      <x:c r="B5" s="19"/>
      <x:c r="C5" s="19"/>
      <x:c r="D5" s="19"/>
      <x:c r="E5" s="19"/>
      <x:c r="F5" s="19"/>
      <x:c r="G5" s="19"/>
      <x:c r="H5" s="19"/>
      <x:c r="I5" s="19"/>
      <x:c r="J5" s="19"/>
      <x:c r="K5" s="19"/>
      <x:c r="L5" s="19"/>
      <x:c r="M5" s="19"/>
      <x:c r="N5" s="19"/>
      <x:c r="O5" s="42"/>
      <x:c r="P5" s="42"/>
      <x:c r="Q5" s="44" t="str">
        <x:f>IF(OR(O5="",P5=""),"",O5-P5)</x:f>
      </x:c>
      <x:c r="R5" s="36" t="str">
        <x:f>IF(Q5="","",IF(Q5&gt;0,"是",IF(Q5=0,"否","恶化")))</x:f>
      </x:c>
      <x:c r="S5" s="19"/>
      <x:c r="T5" s="19"/>
      <x:c r="U5" s="19"/>
      <x:c r="V5" s="19"/>
      <x:c r="W5" s="19"/>
      <x:c r="X5" s="36" t="str">
        <x:f>IF(B5="","",IF(AND(D5&lt;&gt;"",E5&lt;&gt;"",F5&lt;&gt;"",K5&lt;&gt;"",L5&lt;&gt;"",M5&lt;&gt;"",N5&lt;&gt;"",T5&lt;&gt;""),"已完成","待补充"))</x:f>
      </x:c>
    </x:row>
    <x:row r="6" ht="32" customHeight="1">
      <x:c r="A6" s="29"/>
      <x:c r="B6" s="29"/>
      <x:c r="C6" s="29"/>
      <x:c r="D6" s="29"/>
      <x:c r="E6" s="29"/>
      <x:c r="F6" s="29"/>
      <x:c r="G6" s="29"/>
      <x:c r="H6" s="29"/>
      <x:c r="I6" s="29"/>
      <x:c r="J6" s="29"/>
      <x:c r="K6" s="29"/>
      <x:c r="L6" s="29"/>
      <x:c r="M6" s="29"/>
      <x:c r="N6" s="29"/>
      <x:c r="O6" s="43"/>
      <x:c r="P6" s="43"/>
      <x:c r="Q6" s="45" t="str">
        <x:f>IF(OR(O6="",P6=""),"",O6-P6)</x:f>
      </x:c>
      <x:c r="R6" s="37" t="str">
        <x:f>IF(Q6="","",IF(Q6&gt;0,"是",IF(Q6=0,"否","恶化")))</x:f>
      </x:c>
      <x:c r="S6" s="29"/>
      <x:c r="T6" s="29"/>
      <x:c r="U6" s="29"/>
      <x:c r="V6" s="29"/>
      <x:c r="W6" s="29"/>
      <x:c r="X6" s="37" t="str">
        <x:f>IF(B6="","",IF(AND(D6&lt;&gt;"",E6&lt;&gt;"",F6&lt;&gt;"",K6&lt;&gt;"",L6&lt;&gt;"",M6&lt;&gt;"",N6&lt;&gt;"",T6&lt;&gt;""),"已完成","待补充"))</x:f>
      </x:c>
    </x:row>
    <x:row r="7" ht="32" customHeight="1">
      <x:c r="A7" s="29"/>
      <x:c r="B7" s="29"/>
      <x:c r="C7" s="29"/>
      <x:c r="D7" s="29"/>
      <x:c r="E7" s="29"/>
      <x:c r="F7" s="29"/>
      <x:c r="G7" s="29"/>
      <x:c r="H7" s="29"/>
      <x:c r="I7" s="29"/>
      <x:c r="J7" s="29"/>
      <x:c r="K7" s="29"/>
      <x:c r="L7" s="29"/>
      <x:c r="M7" s="29"/>
      <x:c r="N7" s="29"/>
      <x:c r="O7" s="43"/>
      <x:c r="P7" s="43"/>
      <x:c r="Q7" s="45" t="str">
        <x:f>IF(OR(O7="",P7=""),"",O7-P7)</x:f>
      </x:c>
      <x:c r="R7" s="37" t="str">
        <x:f>IF(Q7="","",IF(Q7&gt;0,"是",IF(Q7=0,"否","恶化")))</x:f>
      </x:c>
      <x:c r="S7" s="29"/>
      <x:c r="T7" s="29"/>
      <x:c r="U7" s="29"/>
      <x:c r="V7" s="29"/>
      <x:c r="W7" s="29"/>
      <x:c r="X7" s="37" t="str">
        <x:f>IF(B7="","",IF(AND(D7&lt;&gt;"",E7&lt;&gt;"",F7&lt;&gt;"",K7&lt;&gt;"",L7&lt;&gt;"",M7&lt;&gt;"",N7&lt;&gt;"",T7&lt;&gt;""),"已完成","待补充"))</x:f>
      </x:c>
    </x:row>
    <x:row r="8" ht="32" customHeight="1">
      <x:c r="A8" s="29"/>
      <x:c r="B8" s="29"/>
      <x:c r="C8" s="29"/>
      <x:c r="D8" s="29"/>
      <x:c r="E8" s="29"/>
      <x:c r="F8" s="29"/>
      <x:c r="G8" s="29"/>
      <x:c r="H8" s="29"/>
      <x:c r="I8" s="29"/>
      <x:c r="J8" s="29"/>
      <x:c r="K8" s="29"/>
      <x:c r="L8" s="29"/>
      <x:c r="M8" s="29"/>
      <x:c r="N8" s="29"/>
      <x:c r="O8" s="43"/>
      <x:c r="P8" s="43"/>
      <x:c r="Q8" s="45" t="str">
        <x:f>IF(OR(O8="",P8=""),"",O8-P8)</x:f>
      </x:c>
      <x:c r="R8" s="37" t="str">
        <x:f>IF(Q8="","",IF(Q8&gt;0,"是",IF(Q8=0,"否","恶化")))</x:f>
      </x:c>
      <x:c r="S8" s="29"/>
      <x:c r="T8" s="29"/>
      <x:c r="U8" s="29"/>
      <x:c r="V8" s="29"/>
      <x:c r="W8" s="29"/>
      <x:c r="X8" s="37" t="str">
        <x:f>IF(B8="","",IF(AND(D8&lt;&gt;"",E8&lt;&gt;"",F8&lt;&gt;"",K8&lt;&gt;"",L8&lt;&gt;"",M8&lt;&gt;"",N8&lt;&gt;"",T8&lt;&gt;""),"已完成","待补充"))</x:f>
      </x:c>
    </x:row>
    <x:row r="9" ht="32" customHeight="1">
      <x:c r="A9" s="29"/>
      <x:c r="B9" s="29"/>
      <x:c r="C9" s="29"/>
      <x:c r="D9" s="29"/>
      <x:c r="E9" s="29"/>
      <x:c r="F9" s="29"/>
      <x:c r="G9" s="29"/>
      <x:c r="H9" s="29"/>
      <x:c r="I9" s="29"/>
      <x:c r="J9" s="29"/>
      <x:c r="K9" s="29"/>
      <x:c r="L9" s="29"/>
      <x:c r="M9" s="29"/>
      <x:c r="N9" s="29"/>
      <x:c r="O9" s="43"/>
      <x:c r="P9" s="43"/>
      <x:c r="Q9" s="45" t="str">
        <x:f>IF(OR(O9="",P9=""),"",O9-P9)</x:f>
      </x:c>
      <x:c r="R9" s="37" t="str">
        <x:f>IF(Q9="","",IF(Q9&gt;0,"是",IF(Q9=0,"否","恶化")))</x:f>
      </x:c>
      <x:c r="S9" s="29"/>
      <x:c r="T9" s="29"/>
      <x:c r="U9" s="29"/>
      <x:c r="V9" s="29"/>
      <x:c r="W9" s="29"/>
      <x:c r="X9" s="37" t="str">
        <x:f>IF(B9="","",IF(AND(D9&lt;&gt;"",E9&lt;&gt;"",F9&lt;&gt;"",K9&lt;&gt;"",L9&lt;&gt;"",M9&lt;&gt;"",N9&lt;&gt;"",T9&lt;&gt;""),"已完成","待补充"))</x:f>
      </x:c>
    </x:row>
    <x:row r="10" ht="32" customHeight="1">
      <x:c r="A10" s="29"/>
      <x:c r="B10" s="29"/>
      <x:c r="C10" s="29"/>
      <x:c r="D10" s="29"/>
      <x:c r="E10" s="29"/>
      <x:c r="F10" s="29"/>
      <x:c r="G10" s="29"/>
      <x:c r="H10" s="29"/>
      <x:c r="I10" s="29"/>
      <x:c r="J10" s="29"/>
      <x:c r="K10" s="29"/>
      <x:c r="L10" s="29"/>
      <x:c r="M10" s="29"/>
      <x:c r="N10" s="29"/>
      <x:c r="O10" s="43"/>
      <x:c r="P10" s="43"/>
      <x:c r="Q10" s="45" t="str">
        <x:f>IF(OR(O10="",P10=""),"",O10-P10)</x:f>
      </x:c>
      <x:c r="R10" s="37" t="str">
        <x:f>IF(Q10="","",IF(Q10&gt;0,"是",IF(Q10=0,"否","恶化")))</x:f>
      </x:c>
      <x:c r="S10" s="29"/>
      <x:c r="T10" s="29"/>
      <x:c r="U10" s="29"/>
      <x:c r="V10" s="29"/>
      <x:c r="W10" s="29"/>
      <x:c r="X10" s="37" t="str">
        <x:f>IF(B10="","",IF(AND(D10&lt;&gt;"",E10&lt;&gt;"",F10&lt;&gt;"",K10&lt;&gt;"",L10&lt;&gt;"",M10&lt;&gt;"",N10&lt;&gt;"",T10&lt;&gt;""),"已完成","待补充"))</x:f>
      </x:c>
    </x:row>
    <x:row r="11" ht="32" customHeight="1">
      <x:c r="A11" s="29"/>
      <x:c r="B11" s="29"/>
      <x:c r="C11" s="29"/>
      <x:c r="D11" s="29"/>
      <x:c r="E11" s="29"/>
      <x:c r="F11" s="29"/>
      <x:c r="G11" s="29"/>
      <x:c r="H11" s="29"/>
      <x:c r="I11" s="29"/>
      <x:c r="J11" s="29"/>
      <x:c r="K11" s="29"/>
      <x:c r="L11" s="29"/>
      <x:c r="M11" s="29"/>
      <x:c r="N11" s="29"/>
      <x:c r="O11" s="43"/>
      <x:c r="P11" s="43"/>
      <x:c r="Q11" s="45" t="str">
        <x:f>IF(OR(O11="",P11=""),"",O11-P11)</x:f>
      </x:c>
      <x:c r="R11" s="37" t="str">
        <x:f>IF(Q11="","",IF(Q11&gt;0,"是",IF(Q11=0,"否","恶化")))</x:f>
      </x:c>
      <x:c r="S11" s="29"/>
      <x:c r="T11" s="29"/>
      <x:c r="U11" s="29"/>
      <x:c r="V11" s="29"/>
      <x:c r="W11" s="29"/>
      <x:c r="X11" s="37" t="str">
        <x:f>IF(B11="","",IF(AND(D11&lt;&gt;"",E11&lt;&gt;"",F11&lt;&gt;"",K11&lt;&gt;"",L11&lt;&gt;"",M11&lt;&gt;"",N11&lt;&gt;"",T11&lt;&gt;""),"已完成","待补充"))</x:f>
      </x:c>
    </x:row>
    <x:row r="12" ht="32" customHeight="1">
      <x:c r="A12" s="29"/>
      <x:c r="B12" s="29"/>
      <x:c r="C12" s="29"/>
      <x:c r="D12" s="29"/>
      <x:c r="E12" s="29"/>
      <x:c r="F12" s="29"/>
      <x:c r="G12" s="29"/>
      <x:c r="H12" s="29"/>
      <x:c r="I12" s="29"/>
      <x:c r="J12" s="29"/>
      <x:c r="K12" s="29"/>
      <x:c r="L12" s="29"/>
      <x:c r="M12" s="29"/>
      <x:c r="N12" s="29"/>
      <x:c r="O12" s="43"/>
      <x:c r="P12" s="43"/>
      <x:c r="Q12" s="45" t="str">
        <x:f>IF(OR(O12="",P12=""),"",O12-P12)</x:f>
      </x:c>
      <x:c r="R12" s="37" t="str">
        <x:f>IF(Q12="","",IF(Q12&gt;0,"是",IF(Q12=0,"否","恶化")))</x:f>
      </x:c>
      <x:c r="S12" s="29"/>
      <x:c r="T12" s="29"/>
      <x:c r="U12" s="29"/>
      <x:c r="V12" s="29"/>
      <x:c r="W12" s="29"/>
      <x:c r="X12" s="37" t="str">
        <x:f>IF(B12="","",IF(AND(D12&lt;&gt;"",E12&lt;&gt;"",F12&lt;&gt;"",K12&lt;&gt;"",L12&lt;&gt;"",M12&lt;&gt;"",N12&lt;&gt;"",T12&lt;&gt;""),"已完成","待补充"))</x:f>
      </x:c>
    </x:row>
    <x:row r="13" ht="32" customHeight="1">
      <x:c r="A13" s="29"/>
      <x:c r="B13" s="29"/>
      <x:c r="C13" s="29"/>
      <x:c r="D13" s="29"/>
      <x:c r="E13" s="29"/>
      <x:c r="F13" s="29"/>
      <x:c r="G13" s="29"/>
      <x:c r="H13" s="29"/>
      <x:c r="I13" s="29"/>
      <x:c r="J13" s="29"/>
      <x:c r="K13" s="29"/>
      <x:c r="L13" s="29"/>
      <x:c r="M13" s="29"/>
      <x:c r="N13" s="29"/>
      <x:c r="O13" s="43"/>
      <x:c r="P13" s="43"/>
      <x:c r="Q13" s="45" t="str">
        <x:f>IF(OR(O13="",P13=""),"",O13-P13)</x:f>
      </x:c>
      <x:c r="R13" s="37" t="str">
        <x:f>IF(Q13="","",IF(Q13&gt;0,"是",IF(Q13=0,"否","恶化")))</x:f>
      </x:c>
      <x:c r="S13" s="29"/>
      <x:c r="T13" s="29"/>
      <x:c r="U13" s="29"/>
      <x:c r="V13" s="29"/>
      <x:c r="W13" s="29"/>
      <x:c r="X13" s="37" t="str">
        <x:f>IF(B13="","",IF(AND(D13&lt;&gt;"",E13&lt;&gt;"",F13&lt;&gt;"",K13&lt;&gt;"",L13&lt;&gt;"",M13&lt;&gt;"",N13&lt;&gt;"",T13&lt;&gt;""),"已完成","待补充"))</x:f>
      </x:c>
    </x:row>
    <x:row r="14" ht="32" customHeight="1">
      <x:c r="A14" s="29"/>
      <x:c r="B14" s="29"/>
      <x:c r="C14" s="29"/>
      <x:c r="D14" s="29"/>
      <x:c r="E14" s="29"/>
      <x:c r="F14" s="29"/>
      <x:c r="G14" s="29"/>
      <x:c r="H14" s="29"/>
      <x:c r="I14" s="29"/>
      <x:c r="J14" s="29"/>
      <x:c r="K14" s="29"/>
      <x:c r="L14" s="29"/>
      <x:c r="M14" s="29"/>
      <x:c r="N14" s="29"/>
      <x:c r="O14" s="43"/>
      <x:c r="P14" s="43"/>
      <x:c r="Q14" s="45" t="str">
        <x:f>IF(OR(O14="",P14=""),"",O14-P14)</x:f>
      </x:c>
      <x:c r="R14" s="37" t="str">
        <x:f>IF(Q14="","",IF(Q14&gt;0,"是",IF(Q14=0,"否","恶化")))</x:f>
      </x:c>
      <x:c r="S14" s="29"/>
      <x:c r="T14" s="29"/>
      <x:c r="U14" s="29"/>
      <x:c r="V14" s="29"/>
      <x:c r="W14" s="29"/>
      <x:c r="X14" s="37" t="str">
        <x:f>IF(B14="","",IF(AND(D14&lt;&gt;"",E14&lt;&gt;"",F14&lt;&gt;"",K14&lt;&gt;"",L14&lt;&gt;"",M14&lt;&gt;"",N14&lt;&gt;"",T14&lt;&gt;""),"已完成","待补充"))</x:f>
      </x:c>
    </x:row>
    <x:row r="15" ht="32" customHeight="1">
      <x:c r="A15" s="29"/>
      <x:c r="B15" s="29"/>
      <x:c r="C15" s="29"/>
      <x:c r="D15" s="29"/>
      <x:c r="E15" s="29"/>
      <x:c r="F15" s="29"/>
      <x:c r="G15" s="29"/>
      <x:c r="H15" s="29"/>
      <x:c r="I15" s="29"/>
      <x:c r="J15" s="29"/>
      <x:c r="K15" s="29"/>
      <x:c r="L15" s="29"/>
      <x:c r="M15" s="29"/>
      <x:c r="N15" s="29"/>
      <x:c r="O15" s="43"/>
      <x:c r="P15" s="43"/>
      <x:c r="Q15" s="45" t="str">
        <x:f>IF(OR(O15="",P15=""),"",O15-P15)</x:f>
      </x:c>
      <x:c r="R15" s="37" t="str">
        <x:f>IF(Q15="","",IF(Q15&gt;0,"是",IF(Q15=0,"否","恶化")))</x:f>
      </x:c>
      <x:c r="S15" s="29"/>
      <x:c r="T15" s="29"/>
      <x:c r="U15" s="29"/>
      <x:c r="V15" s="29"/>
      <x:c r="W15" s="29"/>
      <x:c r="X15" s="37" t="str">
        <x:f>IF(B15="","",IF(AND(D15&lt;&gt;"",E15&lt;&gt;"",F15&lt;&gt;"",K15&lt;&gt;"",L15&lt;&gt;"",M15&lt;&gt;"",N15&lt;&gt;"",T15&lt;&gt;""),"已完成","待补充"))</x:f>
      </x:c>
    </x:row>
    <x:row r="16" ht="32" customHeight="1">
      <x:c r="A16" s="29"/>
      <x:c r="B16" s="29"/>
      <x:c r="C16" s="29"/>
      <x:c r="D16" s="29"/>
      <x:c r="E16" s="29"/>
      <x:c r="F16" s="29"/>
      <x:c r="G16" s="29"/>
      <x:c r="H16" s="29"/>
      <x:c r="I16" s="29"/>
      <x:c r="J16" s="29"/>
      <x:c r="K16" s="29"/>
      <x:c r="L16" s="29"/>
      <x:c r="M16" s="29"/>
      <x:c r="N16" s="29"/>
      <x:c r="O16" s="43"/>
      <x:c r="P16" s="43"/>
      <x:c r="Q16" s="45" t="str">
        <x:f>IF(OR(O16="",P16=""),"",O16-P16)</x:f>
      </x:c>
      <x:c r="R16" s="37" t="str">
        <x:f>IF(Q16="","",IF(Q16&gt;0,"是",IF(Q16=0,"否","恶化")))</x:f>
      </x:c>
      <x:c r="S16" s="29"/>
      <x:c r="T16" s="29"/>
      <x:c r="U16" s="29"/>
      <x:c r="V16" s="29"/>
      <x:c r="W16" s="29"/>
      <x:c r="X16" s="37" t="str">
        <x:f>IF(B16="","",IF(AND(D16&lt;&gt;"",E16&lt;&gt;"",F16&lt;&gt;"",K16&lt;&gt;"",L16&lt;&gt;"",M16&lt;&gt;"",N16&lt;&gt;"",T16&lt;&gt;""),"已完成","待补充"))</x:f>
      </x:c>
    </x:row>
    <x:row r="17" ht="32" customHeight="1">
      <x:c r="A17" s="29"/>
      <x:c r="B17" s="29"/>
      <x:c r="C17" s="29"/>
      <x:c r="D17" s="29"/>
      <x:c r="E17" s="29"/>
      <x:c r="F17" s="29"/>
      <x:c r="G17" s="29"/>
      <x:c r="H17" s="29"/>
      <x:c r="I17" s="29"/>
      <x:c r="J17" s="29"/>
      <x:c r="K17" s="29"/>
      <x:c r="L17" s="29"/>
      <x:c r="M17" s="29"/>
      <x:c r="N17" s="29"/>
      <x:c r="O17" s="43"/>
      <x:c r="P17" s="43"/>
      <x:c r="Q17" s="45" t="str">
        <x:f>IF(OR(O17="",P17=""),"",O17-P17)</x:f>
      </x:c>
      <x:c r="R17" s="37" t="str">
        <x:f>IF(Q17="","",IF(Q17&gt;0,"是",IF(Q17=0,"否","恶化")))</x:f>
      </x:c>
      <x:c r="S17" s="29"/>
      <x:c r="T17" s="29"/>
      <x:c r="U17" s="29"/>
      <x:c r="V17" s="29"/>
      <x:c r="W17" s="29"/>
      <x:c r="X17" s="37" t="str">
        <x:f>IF(B17="","",IF(AND(D17&lt;&gt;"",E17&lt;&gt;"",F17&lt;&gt;"",K17&lt;&gt;"",L17&lt;&gt;"",M17&lt;&gt;"",N17&lt;&gt;"",T17&lt;&gt;""),"已完成","待补充"))</x:f>
      </x:c>
    </x:row>
    <x:row r="18" ht="32" customHeight="1">
      <x:c r="A18" s="29"/>
      <x:c r="B18" s="29"/>
      <x:c r="C18" s="29"/>
      <x:c r="D18" s="29"/>
      <x:c r="E18" s="29"/>
      <x:c r="F18" s="29"/>
      <x:c r="G18" s="29"/>
      <x:c r="H18" s="29"/>
      <x:c r="I18" s="29"/>
      <x:c r="J18" s="29"/>
      <x:c r="K18" s="29"/>
      <x:c r="L18" s="29"/>
      <x:c r="M18" s="29"/>
      <x:c r="N18" s="29"/>
      <x:c r="O18" s="43"/>
      <x:c r="P18" s="43"/>
      <x:c r="Q18" s="45" t="str">
        <x:f>IF(OR(O18="",P18=""),"",O18-P18)</x:f>
      </x:c>
      <x:c r="R18" s="37" t="str">
        <x:f>IF(Q18="","",IF(Q18&gt;0,"是",IF(Q18=0,"否","恶化")))</x:f>
      </x:c>
      <x:c r="S18" s="29"/>
      <x:c r="T18" s="29"/>
      <x:c r="U18" s="29"/>
      <x:c r="V18" s="29"/>
      <x:c r="W18" s="29"/>
      <x:c r="X18" s="37" t="str">
        <x:f>IF(B18="","",IF(AND(D18&lt;&gt;"",E18&lt;&gt;"",F18&lt;&gt;"",K18&lt;&gt;"",L18&lt;&gt;"",M18&lt;&gt;"",N18&lt;&gt;"",T18&lt;&gt;""),"已完成","待补充"))</x:f>
      </x:c>
    </x:row>
    <x:row r="19" ht="32" customHeight="1">
      <x:c r="A19" s="29"/>
      <x:c r="B19" s="29"/>
      <x:c r="C19" s="29"/>
      <x:c r="D19" s="29"/>
      <x:c r="E19" s="29"/>
      <x:c r="F19" s="29"/>
      <x:c r="G19" s="29"/>
      <x:c r="H19" s="29"/>
      <x:c r="I19" s="29"/>
      <x:c r="J19" s="29"/>
      <x:c r="K19" s="29"/>
      <x:c r="L19" s="29"/>
      <x:c r="M19" s="29"/>
      <x:c r="N19" s="29"/>
      <x:c r="O19" s="43"/>
      <x:c r="P19" s="43"/>
      <x:c r="Q19" s="45" t="str">
        <x:f>IF(OR(O19="",P19=""),"",O19-P19)</x:f>
      </x:c>
      <x:c r="R19" s="37" t="str">
        <x:f>IF(Q19="","",IF(Q19&gt;0,"是",IF(Q19=0,"否","恶化")))</x:f>
      </x:c>
      <x:c r="S19" s="29"/>
      <x:c r="T19" s="29"/>
      <x:c r="U19" s="29"/>
      <x:c r="V19" s="29"/>
      <x:c r="W19" s="29"/>
      <x:c r="X19" s="37" t="str">
        <x:f>IF(B19="","",IF(AND(D19&lt;&gt;"",E19&lt;&gt;"",F19&lt;&gt;"",K19&lt;&gt;"",L19&lt;&gt;"",M19&lt;&gt;"",N19&lt;&gt;"",T19&lt;&gt;""),"已完成","待补充"))</x:f>
      </x:c>
    </x:row>
    <x:row r="20" ht="32" customHeight="1">
      <x:c r="A20" s="29"/>
      <x:c r="B20" s="29"/>
      <x:c r="C20" s="29"/>
      <x:c r="D20" s="29"/>
      <x:c r="E20" s="29"/>
      <x:c r="F20" s="29"/>
      <x:c r="G20" s="29"/>
      <x:c r="H20" s="29"/>
      <x:c r="I20" s="29"/>
      <x:c r="J20" s="29"/>
      <x:c r="K20" s="29"/>
      <x:c r="L20" s="29"/>
      <x:c r="M20" s="29"/>
      <x:c r="N20" s="29"/>
      <x:c r="O20" s="43"/>
      <x:c r="P20" s="43"/>
      <x:c r="Q20" s="45" t="str">
        <x:f>IF(OR(O20="",P20=""),"",O20-P20)</x:f>
      </x:c>
      <x:c r="R20" s="37" t="str">
        <x:f>IF(Q20="","",IF(Q20&gt;0,"是",IF(Q20=0,"否","恶化")))</x:f>
      </x:c>
      <x:c r="S20" s="29"/>
      <x:c r="T20" s="29"/>
      <x:c r="U20" s="29"/>
      <x:c r="V20" s="29"/>
      <x:c r="W20" s="29"/>
      <x:c r="X20" s="37" t="str">
        <x:f>IF(B20="","",IF(AND(D20&lt;&gt;"",E20&lt;&gt;"",F20&lt;&gt;"",K20&lt;&gt;"",L20&lt;&gt;"",M20&lt;&gt;"",N20&lt;&gt;"",T20&lt;&gt;""),"已完成","待补充"))</x:f>
      </x:c>
    </x:row>
    <x:row r="21" ht="32" customHeight="1">
      <x:c r="A21" s="29"/>
      <x:c r="B21" s="29"/>
      <x:c r="C21" s="29"/>
      <x:c r="D21" s="29"/>
      <x:c r="E21" s="29"/>
      <x:c r="F21" s="29"/>
      <x:c r="G21" s="29"/>
      <x:c r="H21" s="29"/>
      <x:c r="I21" s="29"/>
      <x:c r="J21" s="29"/>
      <x:c r="K21" s="29"/>
      <x:c r="L21" s="29"/>
      <x:c r="M21" s="29"/>
      <x:c r="N21" s="29"/>
      <x:c r="O21" s="43"/>
      <x:c r="P21" s="43"/>
      <x:c r="Q21" s="45" t="str">
        <x:f>IF(OR(O21="",P21=""),"",O21-P21)</x:f>
      </x:c>
      <x:c r="R21" s="37" t="str">
        <x:f>IF(Q21="","",IF(Q21&gt;0,"是",IF(Q21=0,"否","恶化")))</x:f>
      </x:c>
      <x:c r="S21" s="29"/>
      <x:c r="T21" s="29"/>
      <x:c r="U21" s="29"/>
      <x:c r="V21" s="29"/>
      <x:c r="W21" s="29"/>
      <x:c r="X21" s="37" t="str">
        <x:f>IF(B21="","",IF(AND(D21&lt;&gt;"",E21&lt;&gt;"",F21&lt;&gt;"",K21&lt;&gt;"",L21&lt;&gt;"",M21&lt;&gt;"",N21&lt;&gt;"",T21&lt;&gt;""),"已完成","待补充"))</x:f>
      </x:c>
    </x:row>
    <x:row r="22" ht="32" customHeight="1">
      <x:c r="A22" s="29"/>
      <x:c r="B22" s="29"/>
      <x:c r="C22" s="29"/>
      <x:c r="D22" s="29"/>
      <x:c r="E22" s="29"/>
      <x:c r="F22" s="29"/>
      <x:c r="G22" s="29"/>
      <x:c r="H22" s="29"/>
      <x:c r="I22" s="29"/>
      <x:c r="J22" s="29"/>
      <x:c r="K22" s="29"/>
      <x:c r="L22" s="29"/>
      <x:c r="M22" s="29"/>
      <x:c r="N22" s="29"/>
      <x:c r="O22" s="43"/>
      <x:c r="P22" s="43"/>
      <x:c r="Q22" s="45" t="str">
        <x:f>IF(OR(O22="",P22=""),"",O22-P22)</x:f>
      </x:c>
      <x:c r="R22" s="37" t="str">
        <x:f>IF(Q22="","",IF(Q22&gt;0,"是",IF(Q22=0,"否","恶化")))</x:f>
      </x:c>
      <x:c r="S22" s="29"/>
      <x:c r="T22" s="29"/>
      <x:c r="U22" s="29"/>
      <x:c r="V22" s="29"/>
      <x:c r="W22" s="29"/>
      <x:c r="X22" s="37" t="str">
        <x:f>IF(B22="","",IF(AND(D22&lt;&gt;"",E22&lt;&gt;"",F22&lt;&gt;"",K22&lt;&gt;"",L22&lt;&gt;"",M22&lt;&gt;"",N22&lt;&gt;"",T22&lt;&gt;""),"已完成","待补充"))</x:f>
      </x:c>
    </x:row>
    <x:row r="23" ht="32" customHeight="1">
      <x:c r="A23" s="29"/>
      <x:c r="B23" s="29"/>
      <x:c r="C23" s="29"/>
      <x:c r="D23" s="29"/>
      <x:c r="E23" s="29"/>
      <x:c r="F23" s="29"/>
      <x:c r="G23" s="29"/>
      <x:c r="H23" s="29"/>
      <x:c r="I23" s="29"/>
      <x:c r="J23" s="29"/>
      <x:c r="K23" s="29"/>
      <x:c r="L23" s="29"/>
      <x:c r="M23" s="29"/>
      <x:c r="N23" s="29"/>
      <x:c r="O23" s="43"/>
      <x:c r="P23" s="43"/>
      <x:c r="Q23" s="45" t="str">
        <x:f>IF(OR(O23="",P23=""),"",O23-P23)</x:f>
      </x:c>
      <x:c r="R23" s="37" t="str">
        <x:f>IF(Q23="","",IF(Q23&gt;0,"是",IF(Q23=0,"否","恶化")))</x:f>
      </x:c>
      <x:c r="S23" s="29"/>
      <x:c r="T23" s="29"/>
      <x:c r="U23" s="29"/>
      <x:c r="V23" s="29"/>
      <x:c r="W23" s="29"/>
      <x:c r="X23" s="37" t="str">
        <x:f>IF(B23="","",IF(AND(D23&lt;&gt;"",E23&lt;&gt;"",F23&lt;&gt;"",K23&lt;&gt;"",L23&lt;&gt;"",M23&lt;&gt;"",N23&lt;&gt;"",T23&lt;&gt;""),"已完成","待补充"))</x:f>
      </x:c>
    </x:row>
    <x:row r="24" ht="32" customHeight="1">
      <x:c r="A24" s="29"/>
      <x:c r="B24" s="29"/>
      <x:c r="C24" s="29"/>
      <x:c r="D24" s="29"/>
      <x:c r="E24" s="29"/>
      <x:c r="F24" s="29"/>
      <x:c r="G24" s="29"/>
      <x:c r="H24" s="29"/>
      <x:c r="I24" s="29"/>
      <x:c r="J24" s="29"/>
      <x:c r="K24" s="29"/>
      <x:c r="L24" s="29"/>
      <x:c r="M24" s="29"/>
      <x:c r="N24" s="29"/>
      <x:c r="O24" s="43"/>
      <x:c r="P24" s="43"/>
      <x:c r="Q24" s="45" t="str">
        <x:f>IF(OR(O24="",P24=""),"",O24-P24)</x:f>
      </x:c>
      <x:c r="R24" s="37" t="str">
        <x:f>IF(Q24="","",IF(Q24&gt;0,"是",IF(Q24=0,"否","恶化")))</x:f>
      </x:c>
      <x:c r="S24" s="29"/>
      <x:c r="T24" s="29"/>
      <x:c r="U24" s="29"/>
      <x:c r="V24" s="29"/>
      <x:c r="W24" s="29"/>
      <x:c r="X24" s="37" t="str">
        <x:f>IF(B24="","",IF(AND(D24&lt;&gt;"",E24&lt;&gt;"",F24&lt;&gt;"",K24&lt;&gt;"",L24&lt;&gt;"",M24&lt;&gt;"",N24&lt;&gt;"",T24&lt;&gt;""),"已完成","待补充"))</x:f>
      </x:c>
    </x:row>
    <x:row r="25" ht="32" customHeight="1">
      <x:c r="A25" s="29"/>
      <x:c r="B25" s="29"/>
      <x:c r="C25" s="29"/>
      <x:c r="D25" s="29"/>
      <x:c r="E25" s="29"/>
      <x:c r="F25" s="29"/>
      <x:c r="G25" s="29"/>
      <x:c r="H25" s="29"/>
      <x:c r="I25" s="29"/>
      <x:c r="J25" s="29"/>
      <x:c r="K25" s="29"/>
      <x:c r="L25" s="29"/>
      <x:c r="M25" s="29"/>
      <x:c r="N25" s="29"/>
      <x:c r="O25" s="43"/>
      <x:c r="P25" s="43"/>
      <x:c r="Q25" s="45" t="str">
        <x:f>IF(OR(O25="",P25=""),"",O25-P25)</x:f>
      </x:c>
      <x:c r="R25" s="37" t="str">
        <x:f>IF(Q25="","",IF(Q25&gt;0,"是",IF(Q25=0,"否","恶化")))</x:f>
      </x:c>
      <x:c r="S25" s="29"/>
      <x:c r="T25" s="29"/>
      <x:c r="U25" s="29"/>
      <x:c r="V25" s="29"/>
      <x:c r="W25" s="29"/>
      <x:c r="X25" s="37" t="str">
        <x:f>IF(B25="","",IF(AND(D25&lt;&gt;"",E25&lt;&gt;"",F25&lt;&gt;"",K25&lt;&gt;"",L25&lt;&gt;"",M25&lt;&gt;"",N25&lt;&gt;"",T25&lt;&gt;""),"已完成","待补充"))</x:f>
      </x:c>
    </x:row>
    <x:row r="26" ht="32" customHeight="1">
      <x:c r="A26" s="29"/>
      <x:c r="B26" s="29"/>
      <x:c r="C26" s="29"/>
      <x:c r="D26" s="29"/>
      <x:c r="E26" s="29"/>
      <x:c r="F26" s="29"/>
      <x:c r="G26" s="29"/>
      <x:c r="H26" s="29"/>
      <x:c r="I26" s="29"/>
      <x:c r="J26" s="29"/>
      <x:c r="K26" s="29"/>
      <x:c r="L26" s="29"/>
      <x:c r="M26" s="29"/>
      <x:c r="N26" s="29"/>
      <x:c r="O26" s="43"/>
      <x:c r="P26" s="43"/>
      <x:c r="Q26" s="45" t="str">
        <x:f>IF(OR(O26="",P26=""),"",O26-P26)</x:f>
      </x:c>
      <x:c r="R26" s="37" t="str">
        <x:f>IF(Q26="","",IF(Q26&gt;0,"是",IF(Q26=0,"否","恶化")))</x:f>
      </x:c>
      <x:c r="S26" s="29"/>
      <x:c r="T26" s="29"/>
      <x:c r="U26" s="29"/>
      <x:c r="V26" s="29"/>
      <x:c r="W26" s="29"/>
      <x:c r="X26" s="37" t="str">
        <x:f>IF(B26="","",IF(AND(D26&lt;&gt;"",E26&lt;&gt;"",F26&lt;&gt;"",K26&lt;&gt;"",L26&lt;&gt;"",M26&lt;&gt;"",N26&lt;&gt;"",T26&lt;&gt;""),"已完成","待补充"))</x:f>
      </x:c>
    </x:row>
    <x:row r="27" ht="32" customHeight="1">
      <x:c r="A27" s="29"/>
      <x:c r="B27" s="29"/>
      <x:c r="C27" s="29"/>
      <x:c r="D27" s="29"/>
      <x:c r="E27" s="29"/>
      <x:c r="F27" s="29"/>
      <x:c r="G27" s="29"/>
      <x:c r="H27" s="29"/>
      <x:c r="I27" s="29"/>
      <x:c r="J27" s="29"/>
      <x:c r="K27" s="29"/>
      <x:c r="L27" s="29"/>
      <x:c r="M27" s="29"/>
      <x:c r="N27" s="29"/>
      <x:c r="O27" s="43"/>
      <x:c r="P27" s="43"/>
      <x:c r="Q27" s="45" t="str">
        <x:f>IF(OR(O27="",P27=""),"",O27-P27)</x:f>
      </x:c>
      <x:c r="R27" s="37" t="str">
        <x:f>IF(Q27="","",IF(Q27&gt;0,"是",IF(Q27=0,"否","恶化")))</x:f>
      </x:c>
      <x:c r="S27" s="29"/>
      <x:c r="T27" s="29"/>
      <x:c r="U27" s="29"/>
      <x:c r="V27" s="29"/>
      <x:c r="W27" s="29"/>
      <x:c r="X27" s="37" t="str">
        <x:f>IF(B27="","",IF(AND(D27&lt;&gt;"",E27&lt;&gt;"",F27&lt;&gt;"",K27&lt;&gt;"",L27&lt;&gt;"",M27&lt;&gt;"",N27&lt;&gt;"",T27&lt;&gt;""),"已完成","待补充"))</x:f>
      </x:c>
    </x:row>
    <x:row r="28" ht="32" customHeight="1">
      <x:c r="A28" s="29"/>
      <x:c r="B28" s="29"/>
      <x:c r="C28" s="29"/>
      <x:c r="D28" s="29"/>
      <x:c r="E28" s="29"/>
      <x:c r="F28" s="29"/>
      <x:c r="G28" s="29"/>
      <x:c r="H28" s="29"/>
      <x:c r="I28" s="29"/>
      <x:c r="J28" s="29"/>
      <x:c r="K28" s="29"/>
      <x:c r="L28" s="29"/>
      <x:c r="M28" s="29"/>
      <x:c r="N28" s="29"/>
      <x:c r="O28" s="43"/>
      <x:c r="P28" s="43"/>
      <x:c r="Q28" s="45" t="str">
        <x:f>IF(OR(O28="",P28=""),"",O28-P28)</x:f>
      </x:c>
      <x:c r="R28" s="37" t="str">
        <x:f>IF(Q28="","",IF(Q28&gt;0,"是",IF(Q28=0,"否","恶化")))</x:f>
      </x:c>
      <x:c r="S28" s="29"/>
      <x:c r="T28" s="29"/>
      <x:c r="U28" s="29"/>
      <x:c r="V28" s="29"/>
      <x:c r="W28" s="29"/>
      <x:c r="X28" s="37" t="str">
        <x:f>IF(B28="","",IF(AND(D28&lt;&gt;"",E28&lt;&gt;"",F28&lt;&gt;"",K28&lt;&gt;"",L28&lt;&gt;"",M28&lt;&gt;"",N28&lt;&gt;"",T28&lt;&gt;""),"已完成","待补充"))</x:f>
      </x:c>
    </x:row>
    <x:row r="29" ht="32" customHeight="1">
      <x:c r="A29" s="29"/>
      <x:c r="B29" s="29"/>
      <x:c r="C29" s="29"/>
      <x:c r="D29" s="29"/>
      <x:c r="E29" s="29"/>
      <x:c r="F29" s="29"/>
      <x:c r="G29" s="29"/>
      <x:c r="H29" s="29"/>
      <x:c r="I29" s="29"/>
      <x:c r="J29" s="29"/>
      <x:c r="K29" s="29"/>
      <x:c r="L29" s="29"/>
      <x:c r="M29" s="29"/>
      <x:c r="N29" s="29"/>
      <x:c r="O29" s="43"/>
      <x:c r="P29" s="43"/>
      <x:c r="Q29" s="45" t="str">
        <x:f>IF(OR(O29="",P29=""),"",O29-P29)</x:f>
      </x:c>
      <x:c r="R29" s="37" t="str">
        <x:f>IF(Q29="","",IF(Q29&gt;0,"是",IF(Q29=0,"否","恶化")))</x:f>
      </x:c>
      <x:c r="S29" s="29"/>
      <x:c r="T29" s="29"/>
      <x:c r="U29" s="29"/>
      <x:c r="V29" s="29"/>
      <x:c r="W29" s="29"/>
      <x:c r="X29" s="37" t="str">
        <x:f>IF(B29="","",IF(AND(D29&lt;&gt;"",E29&lt;&gt;"",F29&lt;&gt;"",K29&lt;&gt;"",L29&lt;&gt;"",M29&lt;&gt;"",N29&lt;&gt;"",T29&lt;&gt;""),"已完成","待补充"))</x:f>
      </x:c>
    </x:row>
    <x:row r="30" ht="32" customHeight="1">
      <x:c r="A30" s="29"/>
      <x:c r="B30" s="29"/>
      <x:c r="C30" s="29"/>
      <x:c r="D30" s="29"/>
      <x:c r="E30" s="29"/>
      <x:c r="F30" s="29"/>
      <x:c r="G30" s="29"/>
      <x:c r="H30" s="29"/>
      <x:c r="I30" s="29"/>
      <x:c r="J30" s="29"/>
      <x:c r="K30" s="29"/>
      <x:c r="L30" s="29"/>
      <x:c r="M30" s="29"/>
      <x:c r="N30" s="29"/>
      <x:c r="O30" s="43"/>
      <x:c r="P30" s="43"/>
      <x:c r="Q30" s="45" t="str">
        <x:f>IF(OR(O30="",P30=""),"",O30-P30)</x:f>
      </x:c>
      <x:c r="R30" s="37" t="str">
        <x:f>IF(Q30="","",IF(Q30&gt;0,"是",IF(Q30=0,"否","恶化")))</x:f>
      </x:c>
      <x:c r="S30" s="29"/>
      <x:c r="T30" s="29"/>
      <x:c r="U30" s="29"/>
      <x:c r="V30" s="29"/>
      <x:c r="W30" s="29"/>
      <x:c r="X30" s="37" t="str">
        <x:f>IF(B30="","",IF(AND(D30&lt;&gt;"",E30&lt;&gt;"",F30&lt;&gt;"",K30&lt;&gt;"",L30&lt;&gt;"",M30&lt;&gt;"",N30&lt;&gt;"",T30&lt;&gt;""),"已完成","待补充"))</x:f>
      </x:c>
    </x:row>
    <x:row r="31" ht="32" customHeight="1">
      <x:c r="A31" s="29"/>
      <x:c r="B31" s="29"/>
      <x:c r="C31" s="29"/>
      <x:c r="D31" s="29"/>
      <x:c r="E31" s="29"/>
      <x:c r="F31" s="29"/>
      <x:c r="G31" s="29"/>
      <x:c r="H31" s="29"/>
      <x:c r="I31" s="29"/>
      <x:c r="J31" s="29"/>
      <x:c r="K31" s="29"/>
      <x:c r="L31" s="29"/>
      <x:c r="M31" s="29"/>
      <x:c r="N31" s="29"/>
      <x:c r="O31" s="43"/>
      <x:c r="P31" s="43"/>
      <x:c r="Q31" s="45" t="str">
        <x:f>IF(OR(O31="",P31=""),"",O31-P31)</x:f>
      </x:c>
      <x:c r="R31" s="37" t="str">
        <x:f>IF(Q31="","",IF(Q31&gt;0,"是",IF(Q31=0,"否","恶化")))</x:f>
      </x:c>
      <x:c r="S31" s="29"/>
      <x:c r="T31" s="29"/>
      <x:c r="U31" s="29"/>
      <x:c r="V31" s="29"/>
      <x:c r="W31" s="29"/>
      <x:c r="X31" s="37" t="str">
        <x:f>IF(B31="","",IF(AND(D31&lt;&gt;"",E31&lt;&gt;"",F31&lt;&gt;"",K31&lt;&gt;"",L31&lt;&gt;"",M31&lt;&gt;"",N31&lt;&gt;"",T31&lt;&gt;""),"已完成","待补充"))</x:f>
      </x:c>
    </x:row>
    <x:row r="32" ht="32" customHeight="1">
      <x:c r="A32" s="29"/>
      <x:c r="B32" s="29"/>
      <x:c r="C32" s="29"/>
      <x:c r="D32" s="29"/>
      <x:c r="E32" s="29"/>
      <x:c r="F32" s="29"/>
      <x:c r="G32" s="29"/>
      <x:c r="H32" s="29"/>
      <x:c r="I32" s="29"/>
      <x:c r="J32" s="29"/>
      <x:c r="K32" s="29"/>
      <x:c r="L32" s="29"/>
      <x:c r="M32" s="29"/>
      <x:c r="N32" s="29"/>
      <x:c r="O32" s="43"/>
      <x:c r="P32" s="43"/>
      <x:c r="Q32" s="45" t="str">
        <x:f>IF(OR(O32="",P32=""),"",O32-P32)</x:f>
      </x:c>
      <x:c r="R32" s="37" t="str">
        <x:f>IF(Q32="","",IF(Q32&gt;0,"是",IF(Q32=0,"否","恶化")))</x:f>
      </x:c>
      <x:c r="S32" s="29"/>
      <x:c r="T32" s="29"/>
      <x:c r="U32" s="29"/>
      <x:c r="V32" s="29"/>
      <x:c r="W32" s="29"/>
      <x:c r="X32" s="37" t="str">
        <x:f>IF(B32="","",IF(AND(D32&lt;&gt;"",E32&lt;&gt;"",F32&lt;&gt;"",K32&lt;&gt;"",L32&lt;&gt;"",M32&lt;&gt;"",N32&lt;&gt;"",T32&lt;&gt;""),"已完成","待补充"))</x:f>
      </x:c>
    </x:row>
    <x:row r="33" ht="32" customHeight="1">
      <x:c r="A33" s="29"/>
      <x:c r="B33" s="29"/>
      <x:c r="C33" s="29"/>
      <x:c r="D33" s="29"/>
      <x:c r="E33" s="29"/>
      <x:c r="F33" s="29"/>
      <x:c r="G33" s="29"/>
      <x:c r="H33" s="29"/>
      <x:c r="I33" s="29"/>
      <x:c r="J33" s="29"/>
      <x:c r="K33" s="29"/>
      <x:c r="L33" s="29"/>
      <x:c r="M33" s="29"/>
      <x:c r="N33" s="29"/>
      <x:c r="O33" s="43"/>
      <x:c r="P33" s="43"/>
      <x:c r="Q33" s="45" t="str">
        <x:f>IF(OR(O33="",P33=""),"",O33-P33)</x:f>
      </x:c>
      <x:c r="R33" s="37" t="str">
        <x:f>IF(Q33="","",IF(Q33&gt;0,"是",IF(Q33=0,"否","恶化")))</x:f>
      </x:c>
      <x:c r="S33" s="29"/>
      <x:c r="T33" s="29"/>
      <x:c r="U33" s="29"/>
      <x:c r="V33" s="29"/>
      <x:c r="W33" s="29"/>
      <x:c r="X33" s="37" t="str">
        <x:f>IF(B33="","",IF(AND(D33&lt;&gt;"",E33&lt;&gt;"",F33&lt;&gt;"",K33&lt;&gt;"",L33&lt;&gt;"",M33&lt;&gt;"",N33&lt;&gt;"",T33&lt;&gt;""),"已完成","待补充"))</x:f>
      </x:c>
    </x:row>
    <x:row r="34" ht="32" customHeight="1">
      <x:c r="A34" s="29"/>
      <x:c r="B34" s="29"/>
      <x:c r="C34" s="29"/>
      <x:c r="D34" s="29"/>
      <x:c r="E34" s="29"/>
      <x:c r="F34" s="29"/>
      <x:c r="G34" s="29"/>
      <x:c r="H34" s="29"/>
      <x:c r="I34" s="29"/>
      <x:c r="J34" s="29"/>
      <x:c r="K34" s="29"/>
      <x:c r="L34" s="29"/>
      <x:c r="M34" s="29"/>
      <x:c r="N34" s="29"/>
      <x:c r="O34" s="43"/>
      <x:c r="P34" s="43"/>
      <x:c r="Q34" s="45" t="str">
        <x:f>IF(OR(O34="",P34=""),"",O34-P34)</x:f>
      </x:c>
      <x:c r="R34" s="37" t="str">
        <x:f>IF(Q34="","",IF(Q34&gt;0,"是",IF(Q34=0,"否","恶化")))</x:f>
      </x:c>
      <x:c r="S34" s="29"/>
      <x:c r="T34" s="29"/>
      <x:c r="U34" s="29"/>
      <x:c r="V34" s="29"/>
      <x:c r="W34" s="29"/>
      <x:c r="X34" s="37" t="str">
        <x:f>IF(B34="","",IF(AND(D34&lt;&gt;"",E34&lt;&gt;"",F34&lt;&gt;"",K34&lt;&gt;"",L34&lt;&gt;"",M34&lt;&gt;"",N34&lt;&gt;"",T34&lt;&gt;""),"已完成","待补充"))</x:f>
      </x:c>
    </x:row>
  </x:sheetData>
  <x:mergeCells>
    <x:mergeCell ref="A1:X1"/>
    <x:mergeCell ref="A2:X2"/>
  </x:mergeCells>
  <x:conditionalFormatting sqref="X5:X34">
    <x:cfRule type="containsText" dxfId="12" priority="1" operator="containsText" text="已完成"/>
    <x:cfRule type="containsText" dxfId="13" priority="2" operator="containsText" text="进行中"/>
    <x:cfRule type="containsText" dxfId="14" priority="3" operator="containsText" text="失败"/>
  </x:conditionalFormatting>
  <x:conditionalFormatting sqref="R5:R34">
    <x:cfRule type="containsText" dxfId="15" priority="4" operator="containsText" text="是"/>
    <x:cfRule type="containsText" dxfId="16" priority="5" operator="containsText" text="恶化"/>
  </x:conditionalFormatting>
  <x:dataValidations count="3">
    <x:dataValidation type="whole" operator="between" sqref="O5:O34">
      <x:formula1>1</x:formula1>
      <x:formula2>5</x:formula2>
    </x:dataValidation>
    <x:dataValidation type="whole" operator="between" sqref="P5:P34">
      <x:formula1>1</x:formula1>
      <x:formula2>5</x:formula2>
    </x:dataValidation>
    <x:dataValidation type="list" sqref="T5:T34">
      <x:formula1>"正向,负向,基本关联,不确定"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e23ceef2433433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4" hidden="0" customWidth="1"/>
    <x:col min="3" max="3" width="13" hidden="0" customWidth="1"/>
    <x:col min="4" max="4" width="14" hidden="0" customWidth="1"/>
    <x:col min="5" max="5" width="20" hidden="0" customWidth="1"/>
    <x:col min="6" max="6" width="15" hidden="0" customWidth="1"/>
    <x:col min="7" max="7" width="46" hidden="0" customWidth="1"/>
    <x:col min="8" max="8" width="18" hidden="0" customWidth="1"/>
    <x:col min="9" max="9" width="14" hidden="0" customWidth="1"/>
    <x:col min="10" max="10" width="30" hidden="0" customWidth="1"/>
  </x:cols>
  <x:sheetData>
    <x:row r="1" ht="34" customHeight="1">
      <x:c r="A1" s="4" t="str">
        <x:v>实验归档与可复现性清单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0" customHeight="1">
      <x:c r="A2" s="8" t="str">
        <x:v>每一行是一项证据或工件。至少归档：存档修订、意图版本、局部观察、记忆要点、决策 Trace、思考/反思、世界结果和前后截图。</x:v>
      </x:c>
      <x:c r="B2" s="8"/>
      <x:c r="C2" s="8"/>
      <x:c r="D2" s="8"/>
      <x:c r="E2" s="8"/>
      <x:c r="F2" s="8"/>
      <x:c r="G2" s="8"/>
      <x:c r="H2" s="8"/>
      <x:c r="I2" s="8"/>
      <x:c r="J2" s="8"/>
    </x:row>
    <x:row r="4" ht="36" customHeight="1">
      <x:c r="A4" s="14" t="str">
        <x:v>归档 ID</x:v>
      </x:c>
      <x:c r="B4" s="14" t="str">
        <x:v>实验编号</x:v>
      </x:c>
      <x:c r="C4" s="14" t="str">
        <x:v>意图版本</x:v>
      </x:c>
      <x:c r="D4" s="14" t="str">
        <x:v>运行 ID</x:v>
      </x:c>
      <x:c r="E4" s="14" t="str">
        <x:v>工件类型</x:v>
      </x:c>
      <x:c r="F4" s="14" t="str">
        <x:v>核验状态</x:v>
      </x:c>
      <x:c r="G4" s="14" t="str">
        <x:v>文件/链接位置</x:v>
      </x:c>
      <x:c r="H4" s="14" t="str">
        <x:v>采集时间</x:v>
      </x:c>
      <x:c r="I4" s="14" t="str">
        <x:v>核验人</x:v>
      </x:c>
      <x:c r="J4" s="14" t="str">
        <x:v>备注</x:v>
      </x:c>
    </x:row>
    <x:row r="5" ht="32" customHeight="1">
      <x:c r="A5" s="19"/>
      <x:c r="B5" s="19"/>
      <x:c r="C5" s="19"/>
      <x:c r="D5" s="19"/>
      <x:c r="E5" s="19"/>
      <x:c r="F5" s="19"/>
      <x:c r="G5" s="19"/>
      <x:c r="H5" s="38"/>
      <x:c r="I5" s="19"/>
      <x:c r="J5" s="19"/>
    </x:row>
    <x:row r="6" ht="32" customHeight="1">
      <x:c r="A6" s="29"/>
      <x:c r="B6" s="29"/>
      <x:c r="C6" s="29"/>
      <x:c r="D6" s="29"/>
      <x:c r="E6" s="29"/>
      <x:c r="F6" s="29"/>
      <x:c r="G6" s="29"/>
      <x:c r="H6" s="39"/>
      <x:c r="I6" s="29"/>
      <x:c r="J6" s="29"/>
    </x:row>
    <x:row r="7" ht="32" customHeight="1">
      <x:c r="A7" s="29"/>
      <x:c r="B7" s="29"/>
      <x:c r="C7" s="29"/>
      <x:c r="D7" s="29"/>
      <x:c r="E7" s="29"/>
      <x:c r="F7" s="29"/>
      <x:c r="G7" s="29"/>
      <x:c r="H7" s="39"/>
      <x:c r="I7" s="29"/>
      <x:c r="J7" s="29"/>
    </x:row>
    <x:row r="8" ht="32" customHeight="1">
      <x:c r="A8" s="29"/>
      <x:c r="B8" s="29"/>
      <x:c r="C8" s="29"/>
      <x:c r="D8" s="29"/>
      <x:c r="E8" s="29"/>
      <x:c r="F8" s="29"/>
      <x:c r="G8" s="29"/>
      <x:c r="H8" s="39"/>
      <x:c r="I8" s="29"/>
      <x:c r="J8" s="29"/>
    </x:row>
    <x:row r="9" ht="32" customHeight="1">
      <x:c r="A9" s="29"/>
      <x:c r="B9" s="29"/>
      <x:c r="C9" s="29"/>
      <x:c r="D9" s="29"/>
      <x:c r="E9" s="29"/>
      <x:c r="F9" s="29"/>
      <x:c r="G9" s="29"/>
      <x:c r="H9" s="39"/>
      <x:c r="I9" s="29"/>
      <x:c r="J9" s="29"/>
    </x:row>
    <x:row r="10" ht="32" customHeight="1">
      <x:c r="A10" s="29"/>
      <x:c r="B10" s="29"/>
      <x:c r="C10" s="29"/>
      <x:c r="D10" s="29"/>
      <x:c r="E10" s="29"/>
      <x:c r="F10" s="29"/>
      <x:c r="G10" s="29"/>
      <x:c r="H10" s="39"/>
      <x:c r="I10" s="29"/>
      <x:c r="J10" s="29"/>
    </x:row>
    <x:row r="11" ht="32" customHeight="1">
      <x:c r="A11" s="29"/>
      <x:c r="B11" s="29"/>
      <x:c r="C11" s="29"/>
      <x:c r="D11" s="29"/>
      <x:c r="E11" s="29"/>
      <x:c r="F11" s="29"/>
      <x:c r="G11" s="29"/>
      <x:c r="H11" s="39"/>
      <x:c r="I11" s="29"/>
      <x:c r="J11" s="29"/>
    </x:row>
    <x:row r="12" ht="32" customHeight="1">
      <x:c r="A12" s="29"/>
      <x:c r="B12" s="29"/>
      <x:c r="C12" s="29"/>
      <x:c r="D12" s="29"/>
      <x:c r="E12" s="29"/>
      <x:c r="F12" s="29"/>
      <x:c r="G12" s="29"/>
      <x:c r="H12" s="39"/>
      <x:c r="I12" s="29"/>
      <x:c r="J12" s="29"/>
    </x:row>
    <x:row r="13" ht="32" customHeight="1">
      <x:c r="A13" s="29"/>
      <x:c r="B13" s="29"/>
      <x:c r="C13" s="29"/>
      <x:c r="D13" s="29"/>
      <x:c r="E13" s="29"/>
      <x:c r="F13" s="29"/>
      <x:c r="G13" s="29"/>
      <x:c r="H13" s="39"/>
      <x:c r="I13" s="29"/>
      <x:c r="J13" s="29"/>
    </x:row>
    <x:row r="14" ht="32" customHeight="1">
      <x:c r="A14" s="29"/>
      <x:c r="B14" s="29"/>
      <x:c r="C14" s="29"/>
      <x:c r="D14" s="29"/>
      <x:c r="E14" s="29"/>
      <x:c r="F14" s="29"/>
      <x:c r="G14" s="29"/>
      <x:c r="H14" s="39"/>
      <x:c r="I14" s="29"/>
      <x:c r="J14" s="29"/>
    </x:row>
    <x:row r="15" ht="32" customHeight="1">
      <x:c r="A15" s="29"/>
      <x:c r="B15" s="29"/>
      <x:c r="C15" s="29"/>
      <x:c r="D15" s="29"/>
      <x:c r="E15" s="29"/>
      <x:c r="F15" s="29"/>
      <x:c r="G15" s="29"/>
      <x:c r="H15" s="39"/>
      <x:c r="I15" s="29"/>
      <x:c r="J15" s="29"/>
    </x:row>
    <x:row r="16" ht="32" customHeight="1">
      <x:c r="A16" s="29"/>
      <x:c r="B16" s="29"/>
      <x:c r="C16" s="29"/>
      <x:c r="D16" s="29"/>
      <x:c r="E16" s="29"/>
      <x:c r="F16" s="29"/>
      <x:c r="G16" s="29"/>
      <x:c r="H16" s="39"/>
      <x:c r="I16" s="29"/>
      <x:c r="J16" s="29"/>
    </x:row>
    <x:row r="17" ht="32" customHeight="1">
      <x:c r="A17" s="29"/>
      <x:c r="B17" s="29"/>
      <x:c r="C17" s="29"/>
      <x:c r="D17" s="29"/>
      <x:c r="E17" s="29"/>
      <x:c r="F17" s="29"/>
      <x:c r="G17" s="29"/>
      <x:c r="H17" s="39"/>
      <x:c r="I17" s="29"/>
      <x:c r="J17" s="29"/>
    </x:row>
    <x:row r="18" ht="32" customHeight="1">
      <x:c r="A18" s="29"/>
      <x:c r="B18" s="29"/>
      <x:c r="C18" s="29"/>
      <x:c r="D18" s="29"/>
      <x:c r="E18" s="29"/>
      <x:c r="F18" s="29"/>
      <x:c r="G18" s="29"/>
      <x:c r="H18" s="39"/>
      <x:c r="I18" s="29"/>
      <x:c r="J18" s="29"/>
    </x:row>
    <x:row r="19" ht="32" customHeight="1">
      <x:c r="A19" s="29"/>
      <x:c r="B19" s="29"/>
      <x:c r="C19" s="29"/>
      <x:c r="D19" s="29"/>
      <x:c r="E19" s="29"/>
      <x:c r="F19" s="29"/>
      <x:c r="G19" s="29"/>
      <x:c r="H19" s="39"/>
      <x:c r="I19" s="29"/>
      <x:c r="J19" s="29"/>
    </x:row>
    <x:row r="20" ht="32" customHeight="1">
      <x:c r="A20" s="29"/>
      <x:c r="B20" s="29"/>
      <x:c r="C20" s="29"/>
      <x:c r="D20" s="29"/>
      <x:c r="E20" s="29"/>
      <x:c r="F20" s="29"/>
      <x:c r="G20" s="29"/>
      <x:c r="H20" s="39"/>
      <x:c r="I20" s="29"/>
      <x:c r="J20" s="29"/>
    </x:row>
    <x:row r="21" ht="32" customHeight="1">
      <x:c r="A21" s="29"/>
      <x:c r="B21" s="29"/>
      <x:c r="C21" s="29"/>
      <x:c r="D21" s="29"/>
      <x:c r="E21" s="29"/>
      <x:c r="F21" s="29"/>
      <x:c r="G21" s="29"/>
      <x:c r="H21" s="39"/>
      <x:c r="I21" s="29"/>
      <x:c r="J21" s="29"/>
    </x:row>
    <x:row r="22" ht="32" customHeight="1">
      <x:c r="A22" s="29"/>
      <x:c r="B22" s="29"/>
      <x:c r="C22" s="29"/>
      <x:c r="D22" s="29"/>
      <x:c r="E22" s="29"/>
      <x:c r="F22" s="29"/>
      <x:c r="G22" s="29"/>
      <x:c r="H22" s="39"/>
      <x:c r="I22" s="29"/>
      <x:c r="J22" s="29"/>
    </x:row>
    <x:row r="23" ht="32" customHeight="1">
      <x:c r="A23" s="29"/>
      <x:c r="B23" s="29"/>
      <x:c r="C23" s="29"/>
      <x:c r="D23" s="29"/>
      <x:c r="E23" s="29"/>
      <x:c r="F23" s="29"/>
      <x:c r="G23" s="29"/>
      <x:c r="H23" s="39"/>
      <x:c r="I23" s="29"/>
      <x:c r="J23" s="29"/>
    </x:row>
    <x:row r="24" ht="32" customHeight="1">
      <x:c r="A24" s="29"/>
      <x:c r="B24" s="29"/>
      <x:c r="C24" s="29"/>
      <x:c r="D24" s="29"/>
      <x:c r="E24" s="29"/>
      <x:c r="F24" s="29"/>
      <x:c r="G24" s="29"/>
      <x:c r="H24" s="39"/>
      <x:c r="I24" s="29"/>
      <x:c r="J24" s="29"/>
    </x:row>
    <x:row r="25" ht="32" customHeight="1">
      <x:c r="A25" s="29"/>
      <x:c r="B25" s="29"/>
      <x:c r="C25" s="29"/>
      <x:c r="D25" s="29"/>
      <x:c r="E25" s="29"/>
      <x:c r="F25" s="29"/>
      <x:c r="G25" s="29"/>
      <x:c r="H25" s="39"/>
      <x:c r="I25" s="29"/>
      <x:c r="J25" s="29"/>
    </x:row>
    <x:row r="26" ht="32" customHeight="1">
      <x:c r="A26" s="29"/>
      <x:c r="B26" s="29"/>
      <x:c r="C26" s="29"/>
      <x:c r="D26" s="29"/>
      <x:c r="E26" s="29"/>
      <x:c r="F26" s="29"/>
      <x:c r="G26" s="29"/>
      <x:c r="H26" s="39"/>
      <x:c r="I26" s="29"/>
      <x:c r="J26" s="29"/>
    </x:row>
    <x:row r="27" ht="32" customHeight="1">
      <x:c r="A27" s="29"/>
      <x:c r="B27" s="29"/>
      <x:c r="C27" s="29"/>
      <x:c r="D27" s="29"/>
      <x:c r="E27" s="29"/>
      <x:c r="F27" s="29"/>
      <x:c r="G27" s="29"/>
      <x:c r="H27" s="39"/>
      <x:c r="I27" s="29"/>
      <x:c r="J27" s="29"/>
    </x:row>
    <x:row r="28" ht="32" customHeight="1">
      <x:c r="A28" s="29"/>
      <x:c r="B28" s="29"/>
      <x:c r="C28" s="29"/>
      <x:c r="D28" s="29"/>
      <x:c r="E28" s="29"/>
      <x:c r="F28" s="29"/>
      <x:c r="G28" s="29"/>
      <x:c r="H28" s="39"/>
      <x:c r="I28" s="29"/>
      <x:c r="J28" s="29"/>
    </x:row>
    <x:row r="29" ht="32" customHeight="1">
      <x:c r="A29" s="29"/>
      <x:c r="B29" s="29"/>
      <x:c r="C29" s="29"/>
      <x:c r="D29" s="29"/>
      <x:c r="E29" s="29"/>
      <x:c r="F29" s="29"/>
      <x:c r="G29" s="29"/>
      <x:c r="H29" s="39"/>
      <x:c r="I29" s="29"/>
      <x:c r="J29" s="29"/>
    </x:row>
    <x:row r="30" ht="32" customHeight="1">
      <x:c r="A30" s="29"/>
      <x:c r="B30" s="29"/>
      <x:c r="C30" s="29"/>
      <x:c r="D30" s="29"/>
      <x:c r="E30" s="29"/>
      <x:c r="F30" s="29"/>
      <x:c r="G30" s="29"/>
      <x:c r="H30" s="39"/>
      <x:c r="I30" s="29"/>
      <x:c r="J30" s="29"/>
    </x:row>
    <x:row r="31" ht="32" customHeight="1">
      <x:c r="A31" s="29"/>
      <x:c r="B31" s="29"/>
      <x:c r="C31" s="29"/>
      <x:c r="D31" s="29"/>
      <x:c r="E31" s="29"/>
      <x:c r="F31" s="29"/>
      <x:c r="G31" s="29"/>
      <x:c r="H31" s="39"/>
      <x:c r="I31" s="29"/>
      <x:c r="J31" s="29"/>
    </x:row>
    <x:row r="32" ht="32" customHeight="1">
      <x:c r="A32" s="29"/>
      <x:c r="B32" s="29"/>
      <x:c r="C32" s="29"/>
      <x:c r="D32" s="29"/>
      <x:c r="E32" s="29"/>
      <x:c r="F32" s="29"/>
      <x:c r="G32" s="29"/>
      <x:c r="H32" s="39"/>
      <x:c r="I32" s="29"/>
      <x:c r="J32" s="29"/>
    </x:row>
    <x:row r="33" ht="32" customHeight="1">
      <x:c r="A33" s="29"/>
      <x:c r="B33" s="29"/>
      <x:c r="C33" s="29"/>
      <x:c r="D33" s="29"/>
      <x:c r="E33" s="29"/>
      <x:c r="F33" s="29"/>
      <x:c r="G33" s="29"/>
      <x:c r="H33" s="39"/>
      <x:c r="I33" s="29"/>
      <x:c r="J33" s="29"/>
    </x:row>
    <x:row r="34" ht="32" customHeight="1">
      <x:c r="A34" s="29"/>
      <x:c r="B34" s="29"/>
      <x:c r="C34" s="29"/>
      <x:c r="D34" s="29"/>
      <x:c r="E34" s="29"/>
      <x:c r="F34" s="29"/>
      <x:c r="G34" s="29"/>
      <x:c r="H34" s="39"/>
      <x:c r="I34" s="29"/>
      <x:c r="J34" s="29"/>
    </x:row>
  </x:sheetData>
  <x:mergeCells>
    <x:mergeCell ref="A1:J1"/>
    <x:mergeCell ref="A2:J2"/>
  </x:mergeCells>
  <x:conditionalFormatting sqref="F5:F34">
    <x:cfRule type="containsText" dxfId="17" priority="1" operator="containsText" text="已完成"/>
    <x:cfRule type="containsText" dxfId="18" priority="2" operator="containsText" text="进行中"/>
    <x:cfRule type="containsText" dxfId="19" priority="3" operator="containsText" text="失败"/>
  </x:conditionalFormatting>
  <x:dataValidations count="2">
    <x:dataValidation type="list" sqref="E5:E34">
      <x:formula1>"存档修订,共同意图版本,局部观察,记忆节点,检索记录,计划,行动,决策 Trace,思考/反思,世界结果,运行截图,其他"</x:formula1>
    </x:dataValidation>
    <x:dataValidation type="list" sqref="F5:F34">
      <x:formula1>"待归档,已归档,已核验,缺失,不适用"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38718b13d4a4d4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6" hidden="0" customWidth="1"/>
    <x:col min="3" max="3" width="5" hidden="0" customWidth="1"/>
    <x:col min="4" max="4" width="24" hidden="0" customWidth="1"/>
    <x:col min="5" max="5" width="16" hidden="0" customWidth="1"/>
    <x:col min="6" max="6" width="5" hidden="0" customWidth="1"/>
    <x:col min="7" max="7" width="20" hidden="0" customWidth="1"/>
    <x:col min="8" max="8" width="20" hidden="0" customWidth="1"/>
  </x:cols>
  <x:sheetData>
    <x:row r="1" ht="34" customHeight="1">
      <x:c r="A1" s="4" t="str">
        <x:v>实验结果看板</x:v>
      </x:c>
      <x:c r="B1" s="4"/>
      <x:c r="C1" s="4"/>
      <x:c r="D1" s="4"/>
      <x:c r="E1" s="4"/>
      <x:c r="F1" s="4"/>
      <x:c r="G1" s="4"/>
      <x:c r="H1" s="4"/>
    </x:row>
    <x:row r="2" ht="30" customHeight="1">
      <x:c r="A2" s="8" t="str">
        <x:v>自动汇总已填写记录，并保留人工最终判定。空白记录不会计入统计；结论必须回到版本、观察、对照证据和归档位置。</x:v>
      </x:c>
      <x:c r="B2" s="8"/>
      <x:c r="C2" s="8"/>
      <x:c r="D2" s="8"/>
      <x:c r="E2" s="8"/>
      <x:c r="F2" s="8"/>
      <x:c r="G2" s="8"/>
      <x:c r="H2" s="8"/>
    </x:row>
    <x:row r="4">
      <x:c r="A4" s="25" t="str">
        <x:v>自动汇总</x:v>
      </x:c>
      <x:c r="B4" s="25"/>
      <x:c r="C4" s="25"/>
      <x:c r="D4" s="25"/>
      <x:c r="E4" s="25"/>
      <x:c r="F4" s="25"/>
      <x:c r="G4" s="25"/>
      <x:c r="H4" s="25"/>
    </x:row>
    <x:row r="5" ht="36" customHeight="1">
      <x:c r="A5" s="14" t="str">
        <x:v>指标</x:v>
      </x:c>
      <x:c r="B5" s="14" t="str">
        <x:v>结果</x:v>
      </x:c>
      <x:c r="D5" s="14" t="str">
        <x:v>指标</x:v>
      </x:c>
      <x:c r="E5" s="14" t="str">
        <x:v>结果</x:v>
      </x:c>
    </x:row>
    <x:row r="6">
      <x:c r="A6" s="48" t="str">
        <x:v>已填写意图版本</x:v>
      </x:c>
      <x:c r="B6" s="54" t="n">
        <x:f>COUNTIF('版本记录'!$I$5:$I$24,"?*")</x:f>
        <x:v>0</x:v>
      </x:c>
      <x:c r="D6" s="48" t="str">
        <x:v>Gap 减少对照对</x:v>
      </x:c>
      <x:c r="E6" s="54" t="n">
        <x:f>COUNTIF('对照实验'!$R$5:$R$34,"是")</x:f>
        <x:v>0</x:v>
      </x:c>
    </x:row>
    <x:row r="7">
      <x:c r="A7" s="49" t="str">
        <x:v>已批准意图版本</x:v>
      </x:c>
      <x:c r="B7" s="54" t="n">
        <x:f>COUNTIF('版本记录'!$M$5:$M$24,"已批准")</x:f>
        <x:v>0</x:v>
      </x:c>
      <x:c r="D7" s="49" t="str">
        <x:v>Gap 减少率</x:v>
      </x:c>
      <x:c r="E7" s="55" t="n">
        <x:f>IFERROR(E6/B10,0)</x:f>
        <x:v>0</x:v>
      </x:c>
    </x:row>
    <x:row r="8">
      <x:c r="A8" s="49" t="str">
        <x:v>观察投递记录</x:v>
      </x:c>
      <x:c r="B8" s="54" t="n">
        <x:f>COUNTIF('观察投递'!$H$5:$H$54,"&lt;&gt;")</x:f>
        <x:v>0</x:v>
      </x:c>
      <x:c r="D8" s="49" t="str">
        <x:v>U0 检索确认数</x:v>
      </x:c>
      <x:c r="E8" s="54" t="n">
        <x:f>COUNTIF('居民检索行动'!$I$5:$I$64,"是")</x:f>
        <x:v>0</x:v>
      </x:c>
    </x:row>
    <x:row r="9">
      <x:c r="A9" s="49" t="str">
        <x:v>居民有效记录</x:v>
      </x:c>
      <x:c r="B9" s="54" t="n">
        <x:f>COUNTIF('居民检索行动'!$U$5:$U$64,"可分析")</x:f>
        <x:v>0</x:v>
      </x:c>
      <x:c r="D9" s="49" t="str">
        <x:v>U0 未检索数</x:v>
      </x:c>
      <x:c r="E9" s="54" t="n">
        <x:f>COUNTIF('居民检索行动'!$I$5:$I$64,"否")</x:f>
        <x:v>0</x:v>
      </x:c>
    </x:row>
    <x:row r="10">
      <x:c r="A10" s="49" t="str">
        <x:v>已完成对照对</x:v>
      </x:c>
      <x:c r="B10" s="54" t="n">
        <x:f>COUNTIF('对照实验'!$X$5:$X$34,"已完成")</x:f>
        <x:v>0</x:v>
      </x:c>
      <x:c r="D10" s="49" t="str">
        <x:v>可分析观察数</x:v>
      </x:c>
      <x:c r="E10" s="54" t="n">
        <x:f>COUNTIF('观察投递'!$V$5:$V$54,"可分析")</x:f>
        <x:v>0</x:v>
      </x:c>
    </x:row>
    <x:row r="11">
      <x:c r="A11" s="50" t="str">
        <x:v>已核验归档项</x:v>
      </x:c>
      <x:c r="B11" s="54" t="n">
        <x:f>COUNTIF('归档清单'!$F$5:$F$34,"已核验")</x:f>
        <x:v>0</x:v>
      </x:c>
      <x:c r="D11" s="50" t="str">
        <x:v>待补充记录总数</x:v>
      </x:c>
      <x:c r="E11" s="54" t="n">
        <x:f>COUNTIF('版本记录'!$T$5:$T$24,"待补充")+COUNTIF('居民检索行动'!$U$5:$U$64,"待补充")+COUNTIF('观察投递'!$V$5:$V$54,"待补充")+COUNTIF('对照实验'!$X$5:$X$34,"待补充")</x:f>
        <x:v>0</x:v>
      </x:c>
    </x:row>
    <x:row r="13">
      <x:c r="A13" s="25" t="str">
        <x:v>人工最终判定</x:v>
      </x:c>
      <x:c r="B13" s="25"/>
      <x:c r="C13" s="25"/>
      <x:c r="D13" s="25"/>
      <x:c r="E13" s="25"/>
      <x:c r="F13" s="25"/>
      <x:c r="G13" s="25"/>
      <x:c r="H13" s="25"/>
    </x:row>
    <x:row r="14">
      <x:c r="A14" s="58" t="str">
        <x:v>当前最佳版本</x:v>
      </x:c>
      <x:c r="B14" s="78" t="str"/>
      <x:c r="C14" s="79"/>
      <x:c r="D14" s="79"/>
      <x:c r="E14" s="79"/>
      <x:c r="F14" s="79"/>
      <x:c r="G14" s="79"/>
      <x:c r="H14" s="80"/>
    </x:row>
    <x:row r="15">
      <x:c r="A15" s="58" t="str">
        <x:v>U0 是否被全镇有效接收</x:v>
      </x:c>
      <x:c r="B15" s="81" t="str">
        <x:v>待判定</x:v>
      </x:c>
      <x:c r="C15" s="82"/>
      <x:c r="D15" s="82"/>
      <x:c r="E15" s="82"/>
      <x:c r="F15" s="82"/>
      <x:c r="G15" s="82"/>
      <x:c r="H15" s="83"/>
    </x:row>
    <x:row r="16">
      <x:c r="A16" s="58" t="str">
        <x:v>观察是否改变相关居民决策</x:v>
      </x:c>
      <x:c r="B16" s="81" t="str">
        <x:v>待判定</x:v>
      </x:c>
      <x:c r="C16" s="82"/>
      <x:c r="D16" s="82"/>
      <x:c r="E16" s="82"/>
      <x:c r="F16" s="82"/>
      <x:c r="G16" s="82"/>
      <x:c r="H16" s="83"/>
    </x:row>
    <x:row r="17">
      <x:c r="A17" s="58" t="str">
        <x:v>新版是否缩小已知 Gap</x:v>
      </x:c>
      <x:c r="B17" s="81" t="str">
        <x:v>待判定</x:v>
      </x:c>
      <x:c r="C17" s="82"/>
      <x:c r="D17" s="82"/>
      <x:c r="E17" s="82"/>
      <x:c r="F17" s="82"/>
      <x:c r="G17" s="82"/>
      <x:c r="H17" s="83"/>
    </x:row>
    <x:row r="18">
      <x:c r="A18" s="58" t="str">
        <x:v>是否暴露新的 Gap</x:v>
      </x:c>
      <x:c r="B18" s="81" t="str">
        <x:v>待判定</x:v>
      </x:c>
      <x:c r="C18" s="82"/>
      <x:c r="D18" s="82"/>
      <x:c r="E18" s="82"/>
      <x:c r="F18" s="82"/>
      <x:c r="G18" s="82"/>
      <x:c r="H18" s="83"/>
    </x:row>
    <x:row r="19" ht="48" customHeight="1">
      <x:c r="A19" s="58" t="str">
        <x:v>总体结论</x:v>
      </x:c>
      <x:c r="B19" s="81" t="str"/>
      <x:c r="C19" s="82"/>
      <x:c r="D19" s="82"/>
      <x:c r="E19" s="82"/>
      <x:c r="F19" s="82"/>
      <x:c r="G19" s="82"/>
      <x:c r="H19" s="83"/>
    </x:row>
    <x:row r="20" ht="48" customHeight="1">
      <x:c r="A20" s="58" t="str">
        <x:v>下一版 U0 候选/下一轮动作</x:v>
      </x:c>
      <x:c r="B20" s="84" t="str"/>
      <x:c r="C20" s="85"/>
      <x:c r="D20" s="85"/>
      <x:c r="E20" s="85"/>
      <x:c r="F20" s="85"/>
      <x:c r="G20" s="85"/>
      <x:c r="H20" s="86"/>
    </x:row>
    <x:row r="22" ht="40" customHeight="1">
      <x:c r="A22" s="35" t="str">
        <x:v>判定提醒：能“回正”不等于已经证明发生反思；本实验分别记录记忆检索、计划变化、行动和世界结果，再由人判断机制与效果。</x:v>
      </x:c>
      <x:c r="B22" s="35"/>
      <x:c r="C22" s="35"/>
      <x:c r="D22" s="35"/>
      <x:c r="E22" s="35"/>
      <x:c r="F22" s="35"/>
      <x:c r="G22" s="35"/>
      <x:c r="H22" s="35"/>
    </x:row>
  </x:sheetData>
  <x:mergeCells>
    <x:mergeCell ref="A1:H1"/>
    <x:mergeCell ref="A2:H2"/>
    <x:mergeCell ref="A4:H4"/>
    <x:mergeCell ref="A13:H13"/>
    <x:mergeCell ref="B14:H14"/>
    <x:mergeCell ref="B15:H15"/>
    <x:mergeCell ref="B16:H16"/>
    <x:mergeCell ref="B17:H17"/>
    <x:mergeCell ref="B18:H18"/>
    <x:mergeCell ref="B19:H19"/>
    <x:mergeCell ref="B20:H20"/>
    <x:mergeCell ref="A22:H22"/>
  </x:mergeCells>
  <x:dataValidations count="4">
    <x:dataValidation type="list" sqref="B15">
      <x:formula1>"是,否,部分,待判定"</x:formula1>
    </x:dataValidation>
    <x:dataValidation type="list" sqref="B16">
      <x:formula1>"是,否,不确定,待判定"</x:formula1>
    </x:dataValidation>
    <x:dataValidation type="list" sqref="B17">
      <x:formula1>"是,否,恶化,待判定"</x:formula1>
    </x:dataValidation>
    <x:dataValidation type="list" sqref="B18">
      <x:formula1>"是,否,待判定"</x:formula1>
    </x:dataValidation>
  </x:dataValidations>
  <x:pageMargins left="0.7" right="0.7" top="0.75" bottom="0.75" header="0.3" footer="0.3"/>
</x:worksheet>
</file>